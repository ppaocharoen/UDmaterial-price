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5" autoFilterDateGrouping="1"/>
  </bookViews>
  <sheets>
    <sheet xmlns:r="http://schemas.openxmlformats.org/officeDocument/2006/relationships" name="ปร.1" sheetId="1" state="visible" r:id="rId1"/>
    <sheet xmlns:r="http://schemas.openxmlformats.org/officeDocument/2006/relationships" name="ปร.1 (ก)" sheetId="2" state="visible" r:id="rId2"/>
    <sheet xmlns:r="http://schemas.openxmlformats.org/officeDocument/2006/relationships" name="ปร.2" sheetId="3" state="visible" r:id="rId3"/>
    <sheet xmlns:r="http://schemas.openxmlformats.org/officeDocument/2006/relationships" name="ปร.2(ก)" sheetId="4" state="visible" r:id="rId4"/>
    <sheet xmlns:r="http://schemas.openxmlformats.org/officeDocument/2006/relationships" name="ปร.3" sheetId="5" state="visible" r:id="rId5"/>
    <sheet xmlns:r="http://schemas.openxmlformats.org/officeDocument/2006/relationships" name="ปร.4" sheetId="6" state="visible" r:id="rId6"/>
    <sheet xmlns:r="http://schemas.openxmlformats.org/officeDocument/2006/relationships" name="Factor F" sheetId="7" state="visible" r:id="rId7"/>
  </sheets>
  <definedNames>
    <definedName name="TotalPages">GET.DOCUMENT(50)</definedName>
    <definedName name="_xlnm.Print_Titles" localSheetId="0">'ปร.1'!$25:$29</definedName>
    <definedName name="_xlnm.Print_Area" localSheetId="2">'ปร.2'!$A$1:$N$23</definedName>
    <definedName name="_xlnm.Print_Titles" localSheetId="4">'ปร.3'!$1:$6</definedName>
    <definedName name="_xlnm.Print_Titles" localSheetId="6">'Factor F'!$1:$2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[$-187041E]d\ mmmm\ yyyy;@"/>
    <numFmt numFmtId="166" formatCode="_-* #,##0.0000_-;\-* #,##0.0000_-;_-* &quot;-&quot;??_-;_-@_-"/>
    <numFmt numFmtId="167" formatCode="0.0000"/>
  </numFmts>
  <fonts count="12">
    <font>
      <name val="AngsanaUPC"/>
      <charset val="222"/>
      <family val="2"/>
      <color theme="1"/>
      <sz val="16"/>
    </font>
    <font>
      <name val="AngsanaUPC"/>
      <charset val="222"/>
      <family val="2"/>
      <color theme="1"/>
      <sz val="16"/>
    </font>
    <font>
      <name val="TH Sarabun New"/>
      <family val="2"/>
      <b val="1"/>
      <color theme="1"/>
      <sz val="16"/>
    </font>
    <font>
      <name val="TH Sarabun New"/>
      <family val="2"/>
      <color theme="1"/>
      <sz val="14"/>
    </font>
    <font>
      <name val="TH Sarabun New"/>
      <family val="2"/>
      <color theme="1"/>
      <sz val="13"/>
    </font>
    <font>
      <name val="TH Sarabun New"/>
      <family val="2"/>
      <b val="1"/>
      <color theme="1"/>
      <sz val="13"/>
    </font>
    <font>
      <name val="TH Sarabun New"/>
      <family val="2"/>
      <color theme="1"/>
      <sz val="16"/>
    </font>
    <font>
      <name val="TH Sarabun New"/>
      <family val="2"/>
      <color theme="0"/>
      <sz val="14"/>
    </font>
    <font>
      <name val="THSarabunNew"/>
      <color rgb="FF000000"/>
      <sz val="14"/>
    </font>
    <font>
      <name val="AngsanaUPC"/>
      <charset val="222"/>
      <family val="2"/>
      <color theme="10"/>
      <sz val="16"/>
      <u val="single"/>
    </font>
    <font>
      <name val="TH Sarabun New"/>
      <family val="2"/>
      <b val="1"/>
      <color theme="1"/>
      <sz val="14"/>
    </font>
    <font>
      <name val="TH Sarabun New"/>
      <family val="2"/>
      <sz val="13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1" fillId="0" borderId="0"/>
    <xf numFmtId="43" fontId="1" fillId="0" borderId="0"/>
    <xf numFmtId="0" fontId="9" fillId="0" borderId="0"/>
    <xf numFmtId="9" fontId="1" fillId="0" borderId="0"/>
  </cellStyleXfs>
  <cellXfs count="373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4" fillId="0" borderId="2" applyAlignment="1" pivotButton="0" quotePrefix="0" xfId="1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64" fontId="4" fillId="0" borderId="1" applyAlignment="1" pivotButton="0" quotePrefix="0" xfId="1">
      <alignment vertical="center"/>
    </xf>
    <xf numFmtId="0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4" fillId="0" borderId="5" applyAlignment="1" pivotButton="0" quotePrefix="0" xfId="1">
      <alignment horizontal="center" vertical="center"/>
    </xf>
    <xf numFmtId="164" fontId="4" fillId="0" borderId="10" applyAlignment="1" pivotButton="0" quotePrefix="0" xfId="1">
      <alignment vertical="center"/>
    </xf>
    <xf numFmtId="164" fontId="4" fillId="0" borderId="7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5" fillId="0" borderId="1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164" fontId="4" fillId="0" borderId="6" applyAlignment="1" pivotButton="0" quotePrefix="0" xfId="1">
      <alignment vertical="center"/>
    </xf>
    <xf numFmtId="164" fontId="4" fillId="0" borderId="19" applyAlignment="1" pivotButton="0" quotePrefix="0" xfId="1">
      <alignment vertical="center"/>
    </xf>
    <xf numFmtId="0" fontId="4" fillId="0" borderId="21" applyAlignment="1" pivotButton="0" quotePrefix="0" xfId="0">
      <alignment horizontal="center" vertical="center"/>
    </xf>
    <xf numFmtId="164" fontId="4" fillId="0" borderId="21" applyAlignment="1" pivotButton="0" quotePrefix="0" xfId="1">
      <alignment vertical="center"/>
    </xf>
    <xf numFmtId="164" fontId="4" fillId="0" borderId="3" applyAlignment="1" pivotButton="0" quotePrefix="0" xfId="1">
      <alignment horizontal="center" vertical="center"/>
    </xf>
    <xf numFmtId="164" fontId="4" fillId="0" borderId="4" applyAlignment="1" pivotButton="0" quotePrefix="0" xfId="1">
      <alignment horizontal="center" vertical="center"/>
    </xf>
    <xf numFmtId="164" fontId="4" fillId="0" borderId="3" applyAlignment="1" pivotButton="0" quotePrefix="0" xfId="1">
      <alignment vertical="center"/>
    </xf>
    <xf numFmtId="9" fontId="4" fillId="0" borderId="0" applyAlignment="1" pivotButton="0" quotePrefix="0" xfId="0">
      <alignment vertical="center"/>
    </xf>
    <xf numFmtId="0" fontId="6" fillId="0" borderId="0" pivotButton="0" quotePrefix="0" xfId="0"/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164" fontId="4" fillId="0" borderId="11" applyAlignment="1" pivotButton="0" quotePrefix="0" xfId="1">
      <alignment vertical="center"/>
    </xf>
    <xf numFmtId="0" fontId="4" fillId="0" borderId="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0" borderId="5" applyAlignment="1" pivotButton="0" quotePrefix="0" xfId="1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164" fontId="3" fillId="0" borderId="24" applyAlignment="1" pivotButton="0" quotePrefix="0" xfId="1">
      <alignment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164" fontId="3" fillId="0" borderId="10" applyAlignment="1" pivotButton="0" quotePrefix="0" xfId="1">
      <alignment vertical="center"/>
    </xf>
    <xf numFmtId="165" fontId="3" fillId="0" borderId="10" applyAlignment="1" pivotButton="0" quotePrefix="0" xfId="0">
      <alignment horizontal="left" vertical="center"/>
    </xf>
    <xf numFmtId="0" fontId="7" fillId="0" borderId="10" applyAlignment="1" pivotButton="0" quotePrefix="0" xfId="0">
      <alignment vertical="center"/>
    </xf>
    <xf numFmtId="0" fontId="5" fillId="0" borderId="25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0" fontId="4" fillId="0" borderId="28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164" fontId="4" fillId="0" borderId="25" applyAlignment="1" pivotButton="0" quotePrefix="0" xfId="1">
      <alignment vertical="center"/>
    </xf>
    <xf numFmtId="0" fontId="4" fillId="0" borderId="25" applyAlignment="1" pivotButton="0" quotePrefix="0" xfId="0">
      <alignment vertical="center"/>
    </xf>
    <xf numFmtId="0" fontId="4" fillId="0" borderId="22" applyAlignment="1" pivotButton="0" quotePrefix="0" xfId="0">
      <alignment horizontal="center" vertical="center"/>
    </xf>
    <xf numFmtId="0" fontId="4" fillId="0" borderId="28" applyAlignment="1" pivotButton="0" quotePrefix="0" xfId="0">
      <alignment horizontal="left" vertical="center"/>
    </xf>
    <xf numFmtId="0" fontId="5" fillId="0" borderId="23" applyAlignment="1" pivotButton="0" quotePrefix="0" xfId="0">
      <alignment horizontal="right" vertical="center"/>
    </xf>
    <xf numFmtId="164" fontId="4" fillId="0" borderId="8" applyAlignment="1" pivotButton="0" quotePrefix="0" xfId="1">
      <alignment vertical="center"/>
    </xf>
    <xf numFmtId="0" fontId="4" fillId="0" borderId="10" pivotButton="0" quotePrefix="0" xfId="0"/>
    <xf numFmtId="0" fontId="4" fillId="0" borderId="29" pivotButton="0" quotePrefix="0" xfId="0"/>
    <xf numFmtId="164" fontId="4" fillId="0" borderId="1" applyAlignment="1" pivotButton="0" quotePrefix="0" xfId="1">
      <alignment horizontal="center" vertical="center" wrapText="1"/>
    </xf>
    <xf numFmtId="164" fontId="4" fillId="0" borderId="12" applyAlignment="1" pivotButton="0" quotePrefix="0" xfId="1">
      <alignment horizontal="center" vertical="center" wrapText="1"/>
    </xf>
    <xf numFmtId="0" fontId="4" fillId="0" borderId="1" pivotButton="0" quotePrefix="0" xfId="0"/>
    <xf numFmtId="0" fontId="4" fillId="0" borderId="2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24" pivotButton="0" quotePrefix="0" xfId="0"/>
    <xf numFmtId="0" fontId="4" fillId="0" borderId="5" pivotButton="0" quotePrefix="0" xfId="0"/>
    <xf numFmtId="0" fontId="4" fillId="0" borderId="9" pivotButton="0" quotePrefix="0" xfId="0"/>
    <xf numFmtId="0" fontId="4" fillId="0" borderId="11" pivotButton="0" quotePrefix="0" xfId="0"/>
    <xf numFmtId="164" fontId="4" fillId="0" borderId="1" pivotButton="0" quotePrefix="0" xfId="1"/>
    <xf numFmtId="164" fontId="4" fillId="0" borderId="2" pivotButton="0" quotePrefix="0" xfId="1"/>
    <xf numFmtId="164" fontId="4" fillId="0" borderId="5" pivotButton="0" quotePrefix="0" xfId="1"/>
    <xf numFmtId="0" fontId="5" fillId="0" borderId="0" pivotButton="0" quotePrefix="0" xfId="0"/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0" fontId="5" fillId="0" borderId="0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1"/>
    <xf numFmtId="164" fontId="5" fillId="0" borderId="0" pivotButton="0" quotePrefix="0" xfId="1"/>
    <xf numFmtId="164" fontId="5" fillId="0" borderId="1" applyAlignment="1" pivotButton="0" quotePrefix="0" xfId="1">
      <alignment horizontal="center"/>
    </xf>
    <xf numFmtId="164" fontId="5" fillId="0" borderId="2" applyAlignment="1" pivotButton="0" quotePrefix="0" xfId="1">
      <alignment horizontal="center"/>
    </xf>
    <xf numFmtId="164" fontId="4" fillId="0" borderId="12" applyAlignment="1" pivotButton="0" quotePrefix="0" xfId="1">
      <alignment horizontal="center"/>
    </xf>
    <xf numFmtId="164" fontId="5" fillId="0" borderId="12" applyAlignment="1" pivotButton="0" quotePrefix="0" xfId="1">
      <alignment horizontal="center"/>
    </xf>
    <xf numFmtId="10" fontId="5" fillId="0" borderId="0" pivotButton="0" quotePrefix="0" xfId="1"/>
    <xf numFmtId="166" fontId="4" fillId="0" borderId="0" pivotButton="0" quotePrefix="0" xfId="1"/>
    <xf numFmtId="166" fontId="2" fillId="0" borderId="0" pivotButton="0" quotePrefix="0" xfId="1"/>
    <xf numFmtId="166" fontId="5" fillId="0" borderId="0" pivotButton="0" quotePrefix="0" xfId="1"/>
    <xf numFmtId="166" fontId="5" fillId="0" borderId="1" applyAlignment="1" pivotButton="0" quotePrefix="0" xfId="1">
      <alignment horizontal="center"/>
    </xf>
    <xf numFmtId="166" fontId="5" fillId="0" borderId="2" applyAlignment="1" pivotButton="0" quotePrefix="0" xfId="1">
      <alignment horizontal="center"/>
    </xf>
    <xf numFmtId="166" fontId="5" fillId="0" borderId="12" applyAlignment="1" pivotButton="0" quotePrefix="0" xfId="1">
      <alignment horizontal="center"/>
    </xf>
    <xf numFmtId="0" fontId="8" fillId="0" borderId="0" applyAlignment="1" pivotButton="0" quotePrefix="0" xfId="0">
      <alignment vertical="center" wrapText="1"/>
    </xf>
    <xf numFmtId="164" fontId="4" fillId="0" borderId="5" applyAlignment="1" pivotButton="0" quotePrefix="0" xfId="1">
      <alignment horizontal="right"/>
    </xf>
    <xf numFmtId="166" fontId="4" fillId="0" borderId="5" pivotButton="0" quotePrefix="0" xfId="1"/>
    <xf numFmtId="164" fontId="4" fillId="0" borderId="0" pivotButton="0" quotePrefix="0" xfId="1"/>
    <xf numFmtId="166" fontId="4" fillId="0" borderId="0" pivotButton="0" quotePrefix="0" xfId="0"/>
    <xf numFmtId="0" fontId="5" fillId="0" borderId="9" pivotButton="0" quotePrefix="0" xfId="0"/>
    <xf numFmtId="166" fontId="5" fillId="0" borderId="11" pivotButton="0" quotePrefix="0" xfId="1"/>
    <xf numFmtId="164" fontId="5" fillId="0" borderId="10" pivotButton="0" quotePrefix="0" xfId="1"/>
    <xf numFmtId="167" fontId="5" fillId="0" borderId="10" applyAlignment="1" pivotButton="0" quotePrefix="0" xfId="0">
      <alignment horizontal="right"/>
    </xf>
    <xf numFmtId="0" fontId="5" fillId="0" borderId="11" pivotButton="0" quotePrefix="0" xfId="0"/>
    <xf numFmtId="0" fontId="4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4" fillId="0" borderId="31" pivotButton="0" quotePrefix="0" xfId="0"/>
    <xf numFmtId="0" fontId="4" fillId="0" borderId="32" pivotButton="0" quotePrefix="0" xfId="0"/>
    <xf numFmtId="164" fontId="4" fillId="0" borderId="32" pivotButton="0" quotePrefix="0" xfId="1"/>
    <xf numFmtId="0" fontId="4" fillId="0" borderId="33" pivotButton="0" quotePrefix="0" xfId="0"/>
    <xf numFmtId="0" fontId="4" fillId="0" borderId="34" pivotButton="0" quotePrefix="0" xfId="0"/>
    <xf numFmtId="164" fontId="4" fillId="0" borderId="0" pivotButton="0" quotePrefix="0" xfId="1"/>
    <xf numFmtId="0" fontId="4" fillId="0" borderId="35" pivotButton="0" quotePrefix="0" xfId="0"/>
    <xf numFmtId="164" fontId="4" fillId="0" borderId="0" applyAlignment="1" pivotButton="0" quotePrefix="0" xfId="1">
      <alignment horizontal="right"/>
    </xf>
    <xf numFmtId="0" fontId="4" fillId="0" borderId="36" pivotButton="0" quotePrefix="0" xfId="0"/>
    <xf numFmtId="0" fontId="4" fillId="0" borderId="37" pivotButton="0" quotePrefix="0" xfId="0"/>
    <xf numFmtId="164" fontId="4" fillId="0" borderId="37" pivotButton="0" quotePrefix="0" xfId="1"/>
    <xf numFmtId="0" fontId="4" fillId="0" borderId="38" pivotButton="0" quotePrefix="0" xfId="0"/>
    <xf numFmtId="0" fontId="9" fillId="0" borderId="0" pivotButton="0" quotePrefix="0" xfId="2"/>
    <xf numFmtId="164" fontId="4" fillId="0" borderId="37" pivotButton="0" quotePrefix="0" xfId="0"/>
    <xf numFmtId="0" fontId="4" fillId="0" borderId="5" applyAlignment="1" pivotButton="0" quotePrefix="0" xfId="0">
      <alignment horizontal="center"/>
    </xf>
    <xf numFmtId="0" fontId="4" fillId="0" borderId="24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/>
    </xf>
    <xf numFmtId="164" fontId="4" fillId="0" borderId="14" applyAlignment="1" pivotButton="0" quotePrefix="0" xfId="0">
      <alignment horizontal="center" vertical="center"/>
    </xf>
    <xf numFmtId="164" fontId="4" fillId="0" borderId="11" pivotButton="0" quotePrefix="0" xfId="0"/>
    <xf numFmtId="0" fontId="5" fillId="0" borderId="16" applyAlignment="1" pivotButton="0" quotePrefix="0" xfId="0">
      <alignment horizontal="left" vertical="center"/>
    </xf>
    <xf numFmtId="0" fontId="4" fillId="0" borderId="39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9" fontId="4" fillId="0" borderId="20" applyAlignment="1" pivotButton="0" quotePrefix="0" xfId="0">
      <alignment vertical="center"/>
    </xf>
    <xf numFmtId="164" fontId="4" fillId="0" borderId="21" applyAlignment="1" pivotButton="0" quotePrefix="0" xfId="1">
      <alignment horizontal="center" vertical="center"/>
    </xf>
    <xf numFmtId="164" fontId="4" fillId="0" borderId="25" applyAlignment="1" pivotButton="0" quotePrefix="0" xfId="1">
      <alignment horizontal="center" vertical="center"/>
    </xf>
    <xf numFmtId="0" fontId="5" fillId="0" borderId="20" applyAlignment="1" pivotButton="0" quotePrefix="0" xfId="0">
      <alignment vertical="center"/>
    </xf>
    <xf numFmtId="164" fontId="10" fillId="0" borderId="0" pivotButton="0" quotePrefix="0" xfId="0"/>
    <xf numFmtId="0" fontId="4" fillId="0" borderId="2" pivotButton="0" quotePrefix="1" xfId="0"/>
    <xf numFmtId="164" fontId="5" fillId="0" borderId="25" applyAlignment="1" pivotButton="0" quotePrefix="0" xfId="1">
      <alignment horizontal="center" vertical="center"/>
    </xf>
    <xf numFmtId="164" fontId="5" fillId="0" borderId="8" applyAlignment="1" pivotButton="0" quotePrefix="0" xfId="1">
      <alignment horizontal="center" vertical="center"/>
    </xf>
    <xf numFmtId="0" fontId="10" fillId="0" borderId="0" applyAlignment="1" pivotButton="0" quotePrefix="0" xfId="0">
      <alignment horizontal="right"/>
    </xf>
    <xf numFmtId="164" fontId="10" fillId="0" borderId="25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166" fontId="10" fillId="0" borderId="8" applyAlignment="1" pivotButton="0" quotePrefix="0" xfId="1">
      <alignment horizontal="center" vertical="center"/>
    </xf>
    <xf numFmtId="164" fontId="10" fillId="0" borderId="8" applyAlignment="1" pivotButton="0" quotePrefix="0" xfId="1">
      <alignment vertical="center"/>
    </xf>
    <xf numFmtId="0" fontId="3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164" fontId="3" fillId="0" borderId="0" applyAlignment="1" pivotButton="0" quotePrefix="0" xfId="1">
      <alignment vertical="center"/>
    </xf>
    <xf numFmtId="164" fontId="3" fillId="0" borderId="29" applyAlignment="1" pivotButton="0" quotePrefix="0" xfId="1">
      <alignment horizontal="center" vertical="center"/>
    </xf>
    <xf numFmtId="164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/>
    </xf>
    <xf numFmtId="164" fontId="3" fillId="0" borderId="24" applyAlignment="1" pivotButton="0" quotePrefix="0" xfId="1">
      <alignment vertical="center"/>
    </xf>
    <xf numFmtId="164" fontId="3" fillId="0" borderId="1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4" fillId="0" borderId="5" applyAlignment="1" pivotButton="0" quotePrefix="0" xfId="1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4" fillId="0" borderId="1" applyAlignment="1" pivotButton="0" quotePrefix="0" xfId="1">
      <alignment vertical="center"/>
    </xf>
    <xf numFmtId="164" fontId="4" fillId="0" borderId="2" applyAlignment="1" pivotButton="0" quotePrefix="0" xfId="1">
      <alignment vertical="center"/>
    </xf>
    <xf numFmtId="164" fontId="5" fillId="0" borderId="2" applyAlignment="1" pivotButton="0" quotePrefix="0" xfId="1">
      <alignment vertical="center"/>
    </xf>
    <xf numFmtId="164" fontId="4" fillId="0" borderId="10" applyAlignment="1" pivotButton="0" quotePrefix="0" xfId="1">
      <alignment vertical="center"/>
    </xf>
    <xf numFmtId="164" fontId="5" fillId="0" borderId="10" applyAlignment="1" pivotButton="0" quotePrefix="0" xfId="1">
      <alignment vertical="center"/>
    </xf>
    <xf numFmtId="0" fontId="4" fillId="0" borderId="11" applyAlignment="1" pivotButton="0" quotePrefix="0" xfId="0">
      <alignment vertical="center"/>
    </xf>
    <xf numFmtId="164" fontId="4" fillId="0" borderId="7" applyAlignment="1" pivotButton="0" quotePrefix="0" xfId="1">
      <alignment vertical="center"/>
    </xf>
    <xf numFmtId="164" fontId="4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4" fillId="0" borderId="3" applyAlignment="1" pivotButton="0" quotePrefix="0" xfId="0">
      <alignment horizontal="center" vertical="center"/>
    </xf>
    <xf numFmtId="164" fontId="4" fillId="0" borderId="2" applyAlignment="1" pivotButton="0" quotePrefix="0" xfId="1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vertical="center"/>
    </xf>
    <xf numFmtId="164" fontId="3" fillId="0" borderId="2" applyAlignment="1" pivotButton="0" quotePrefix="0" xfId="1">
      <alignment vertical="center"/>
    </xf>
    <xf numFmtId="0" fontId="3" fillId="0" borderId="4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164" fontId="3" fillId="0" borderId="0" pivotButton="0" quotePrefix="0" xfId="1"/>
    <xf numFmtId="9" fontId="3" fillId="0" borderId="0" pivotButton="0" quotePrefix="0" xfId="3"/>
    <xf numFmtId="164" fontId="3" fillId="0" borderId="0" pivotButton="0" quotePrefix="0" xfId="0"/>
    <xf numFmtId="164" fontId="11" fillId="0" borderId="2" applyAlignment="1" pivotButton="0" quotePrefix="0" xfId="1">
      <alignment vertical="center"/>
    </xf>
    <xf numFmtId="0" fontId="4" fillId="0" borderId="13" applyAlignment="1" pivotButton="0" quotePrefix="0" xfId="0">
      <alignment horizontal="center" vertical="center"/>
    </xf>
    <xf numFmtId="0" fontId="4" fillId="0" borderId="24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164" fontId="11" fillId="0" borderId="12" applyAlignment="1" pivotButton="0" quotePrefix="0" xfId="1">
      <alignment vertical="center"/>
    </xf>
    <xf numFmtId="164" fontId="4" fillId="0" borderId="12" applyAlignment="1" pivotButton="0" quotePrefix="0" xfId="1">
      <alignment vertical="center"/>
    </xf>
    <xf numFmtId="0" fontId="4" fillId="0" borderId="12" applyAlignment="1" pivotButton="0" quotePrefix="0" xfId="0">
      <alignment vertical="center"/>
    </xf>
    <xf numFmtId="164" fontId="5" fillId="0" borderId="4" applyAlignment="1" pivotButton="0" quotePrefix="0" xfId="1">
      <alignment horizontal="center" vertical="center"/>
    </xf>
    <xf numFmtId="164" fontId="4" fillId="0" borderId="4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64" fontId="4" fillId="0" borderId="5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4" fontId="4" fillId="0" borderId="0" applyAlignment="1" pivotButton="0" quotePrefix="0" xfId="1">
      <alignment horizontal="center" vertical="center"/>
    </xf>
    <xf numFmtId="164" fontId="3" fillId="0" borderId="17" applyAlignment="1" pivotButton="0" quotePrefix="0" xfId="1">
      <alignment horizontal="center" vertical="center"/>
    </xf>
    <xf numFmtId="164" fontId="3" fillId="0" borderId="14" applyAlignment="1" pivotButton="0" quotePrefix="0" xfId="1">
      <alignment horizontal="center" vertical="center"/>
    </xf>
    <xf numFmtId="164" fontId="3" fillId="0" borderId="16" applyAlignment="1" pivotButton="0" quotePrefix="0" xfId="1">
      <alignment horizontal="center" vertical="center" wrapText="1"/>
    </xf>
    <xf numFmtId="164" fontId="3" fillId="0" borderId="17" applyAlignment="1" pivotButton="0" quotePrefix="0" xfId="1">
      <alignment horizontal="center" vertical="center" wrapText="1"/>
    </xf>
    <xf numFmtId="164" fontId="3" fillId="0" borderId="13" applyAlignment="1" pivotButton="0" quotePrefix="0" xfId="1">
      <alignment horizontal="center" vertical="center" wrapText="1"/>
    </xf>
    <xf numFmtId="164" fontId="3" fillId="0" borderId="14" applyAlignment="1" pivotButton="0" quotePrefix="0" xfId="1">
      <alignment horizontal="center" vertical="center" wrapText="1"/>
    </xf>
    <xf numFmtId="164" fontId="10" fillId="0" borderId="6" applyAlignment="1" pivotButton="0" quotePrefix="0" xfId="1">
      <alignment horizontal="center" vertical="center"/>
    </xf>
    <xf numFmtId="164" fontId="10" fillId="0" borderId="8" applyAlignment="1" pivotButton="0" quotePrefix="0" xfId="1">
      <alignment horizontal="center" vertical="center"/>
    </xf>
    <xf numFmtId="164" fontId="3" fillId="0" borderId="26" applyAlignment="1" pivotButton="0" quotePrefix="0" xfId="1">
      <alignment horizontal="center" vertical="center"/>
    </xf>
    <xf numFmtId="164" fontId="3" fillId="0" borderId="12" applyAlignment="1" pivotButton="0" quotePrefix="0" xfId="1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4" fontId="3" fillId="0" borderId="16" applyAlignment="1" pivotButton="0" quotePrefix="0" xfId="1">
      <alignment horizontal="center" vertical="center"/>
    </xf>
    <xf numFmtId="164" fontId="3" fillId="0" borderId="13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 wrapText="1"/>
    </xf>
    <xf numFmtId="164" fontId="4" fillId="0" borderId="6" applyAlignment="1" pivotButton="0" quotePrefix="0" xfId="1">
      <alignment horizontal="center" vertical="center"/>
    </xf>
    <xf numFmtId="164" fontId="4" fillId="0" borderId="13" applyAlignment="1" pivotButton="0" quotePrefix="0" xfId="1">
      <alignment horizontal="center" vertical="center"/>
    </xf>
    <xf numFmtId="164" fontId="5" fillId="0" borderId="3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5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164" fontId="4" fillId="0" borderId="15" applyAlignment="1" pivotButton="0" quotePrefix="0" xfId="1">
      <alignment horizontal="center" vertical="center"/>
    </xf>
    <xf numFmtId="164" fontId="4" fillId="0" borderId="27" applyAlignment="1" pivotButton="0" quotePrefix="0" xfId="1">
      <alignment horizontal="center" vertical="center"/>
    </xf>
    <xf numFmtId="164" fontId="4" fillId="0" borderId="26" applyAlignment="1" pivotButton="0" quotePrefix="0" xfId="1">
      <alignment horizontal="center" vertical="center"/>
    </xf>
    <xf numFmtId="164" fontId="4" fillId="0" borderId="18" applyAlignment="1" pivotButton="0" quotePrefix="0" xfId="1">
      <alignment horizontal="center" vertical="center"/>
    </xf>
    <xf numFmtId="164" fontId="4" fillId="0" borderId="16" applyAlignment="1" pivotButton="0" quotePrefix="0" xfId="1">
      <alignment horizontal="center" vertical="center"/>
    </xf>
    <xf numFmtId="164" fontId="4" fillId="0" borderId="19" applyAlignment="1" pivotButton="0" quotePrefix="0" xfId="1">
      <alignment horizontal="center" vertical="center"/>
    </xf>
    <xf numFmtId="164" fontId="4" fillId="0" borderId="15" applyAlignment="1" pivotButton="0" quotePrefix="0" xfId="1">
      <alignment horizontal="center" vertical="center" wrapText="1"/>
    </xf>
    <xf numFmtId="164" fontId="4" fillId="0" borderId="27" applyAlignment="1" pivotButton="0" quotePrefix="0" xfId="1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164" fontId="4" fillId="0" borderId="1" applyAlignment="1" pivotButton="0" quotePrefix="0" xfId="1">
      <alignment horizontal="center" vertical="center"/>
    </xf>
    <xf numFmtId="164" fontId="4" fillId="0" borderId="12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26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164" fontId="4" fillId="0" borderId="17" applyAlignment="1" pivotButton="0" quotePrefix="0" xfId="1">
      <alignment horizontal="center" vertical="center"/>
    </xf>
    <xf numFmtId="164" fontId="4" fillId="0" borderId="14" applyAlignment="1" pivotButton="0" quotePrefix="0" xfId="1">
      <alignment horizontal="center" vertical="center"/>
    </xf>
    <xf numFmtId="164" fontId="5" fillId="0" borderId="10" applyAlignment="1" pivotButton="0" quotePrefix="0" xfId="1">
      <alignment horizontal="center"/>
    </xf>
    <xf numFmtId="164" fontId="5" fillId="0" borderId="1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4" fontId="4" fillId="0" borderId="0" applyAlignment="1" applyProtection="1" pivotButton="0" quotePrefix="0" xfId="1">
      <alignment horizontal="center"/>
      <protection locked="0" hidden="0"/>
    </xf>
    <xf numFmtId="164" fontId="5" fillId="0" borderId="9" applyAlignment="1" pivotButton="0" quotePrefix="0" xfId="1">
      <alignment horizontal="center"/>
    </xf>
    <xf numFmtId="164" fontId="5" fillId="0" borderId="11" applyAlignment="1" pivotButton="0" quotePrefix="0" xfId="1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1">
      <alignment vertical="center"/>
    </xf>
    <xf numFmtId="164" fontId="3" fillId="0" borderId="24" applyAlignment="1" pivotButton="0" quotePrefix="0" xfId="1">
      <alignment vertical="center"/>
    </xf>
    <xf numFmtId="164" fontId="3" fillId="0" borderId="10" applyAlignment="1" pivotButton="0" quotePrefix="0" xfId="1">
      <alignment vertical="center"/>
    </xf>
    <xf numFmtId="165" fontId="3" fillId="0" borderId="1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4" fontId="4" fillId="0" borderId="5" applyAlignment="1" pivotButton="0" quotePrefix="0" xfId="1">
      <alignment horizontal="center" vertical="center"/>
    </xf>
    <xf numFmtId="0" fontId="0" fillId="0" borderId="11" pivotButton="0" quotePrefix="0" xfId="0"/>
    <xf numFmtId="164" fontId="4" fillId="0" borderId="5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14" pivotButton="0" quotePrefix="0" xfId="0"/>
    <xf numFmtId="164" fontId="4" fillId="0" borderId="1" applyAlignment="1" pivotButton="0" quotePrefix="0" xfId="1">
      <alignment vertical="center"/>
    </xf>
    <xf numFmtId="164" fontId="4" fillId="0" borderId="2" applyAlignment="1" pivotButton="0" quotePrefix="0" xfId="1">
      <alignment vertical="center"/>
    </xf>
    <xf numFmtId="164" fontId="5" fillId="0" borderId="2" applyAlignment="1" pivotButton="0" quotePrefix="0" xfId="1">
      <alignment vertical="center"/>
    </xf>
    <xf numFmtId="164" fontId="4" fillId="0" borderId="10" applyAlignment="1" pivotButton="0" quotePrefix="0" xfId="1">
      <alignment vertical="center"/>
    </xf>
    <xf numFmtId="164" fontId="5" fillId="0" borderId="10" applyAlignment="1" pivotButton="0" quotePrefix="0" xfId="1">
      <alignment vertical="center"/>
    </xf>
    <xf numFmtId="164" fontId="4" fillId="0" borderId="7" applyAlignment="1" pivotButton="0" quotePrefix="0" xfId="1">
      <alignment vertical="center"/>
    </xf>
    <xf numFmtId="164" fontId="4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vertical="center"/>
    </xf>
    <xf numFmtId="164" fontId="4" fillId="0" borderId="0" applyAlignment="1" pivotButton="0" quotePrefix="0" xfId="1">
      <alignment horizontal="center" vertical="center"/>
    </xf>
    <xf numFmtId="164" fontId="11" fillId="0" borderId="2" applyAlignment="1" pivotButton="0" quotePrefix="0" xfId="1">
      <alignment vertical="center"/>
    </xf>
    <xf numFmtId="164" fontId="11" fillId="0" borderId="12" applyAlignment="1" pivotButton="0" quotePrefix="0" xfId="1">
      <alignment vertical="center"/>
    </xf>
    <xf numFmtId="164" fontId="4" fillId="0" borderId="12" applyAlignment="1" pivotButton="0" quotePrefix="0" xfId="1">
      <alignment vertical="center"/>
    </xf>
    <xf numFmtId="164" fontId="4" fillId="0" borderId="2" applyAlignment="1" pivotButton="0" quotePrefix="0" xfId="1">
      <alignment horizontal="center" vertical="center"/>
    </xf>
    <xf numFmtId="0" fontId="0" fillId="0" borderId="39" pivotButton="0" quotePrefix="0" xfId="0"/>
    <xf numFmtId="0" fontId="0" fillId="0" borderId="17" pivotButton="0" quotePrefix="0" xfId="0"/>
    <xf numFmtId="164" fontId="3" fillId="0" borderId="15" applyAlignment="1" pivotButton="0" quotePrefix="0" xfId="1">
      <alignment horizontal="center" vertical="center"/>
    </xf>
    <xf numFmtId="164" fontId="3" fillId="0" borderId="40" applyAlignment="1" pivotButton="0" quotePrefix="0" xfId="1">
      <alignment horizontal="center" vertical="center"/>
    </xf>
    <xf numFmtId="164" fontId="3" fillId="0" borderId="15" applyAlignment="1" pivotButton="0" quotePrefix="0" xfId="1">
      <alignment horizontal="center" vertical="center" wrapText="1"/>
    </xf>
    <xf numFmtId="164" fontId="10" fillId="0" borderId="1" applyAlignment="1" pivotButton="0" quotePrefix="0" xfId="1">
      <alignment horizontal="center" vertical="center"/>
    </xf>
    <xf numFmtId="166" fontId="10" fillId="0" borderId="8" applyAlignment="1" pivotButton="0" quotePrefix="0" xfId="1">
      <alignment horizontal="center" vertical="center"/>
    </xf>
    <xf numFmtId="164" fontId="10" fillId="0" borderId="8" applyAlignment="1" pivotButton="0" quotePrefix="0" xfId="1">
      <alignment vertical="center"/>
    </xf>
    <xf numFmtId="164" fontId="4" fillId="0" borderId="6" applyAlignment="1" pivotButton="0" quotePrefix="0" xfId="1">
      <alignment vertical="center"/>
    </xf>
    <xf numFmtId="164" fontId="4" fillId="0" borderId="3" applyAlignment="1" pivotButton="0" quotePrefix="0" xfId="1">
      <alignment horizontal="center" vertical="center"/>
    </xf>
    <xf numFmtId="164" fontId="4" fillId="0" borderId="4" applyAlignment="1" pivotButton="0" quotePrefix="0" xfId="1">
      <alignment horizontal="center" vertical="center"/>
    </xf>
    <xf numFmtId="164" fontId="4" fillId="0" borderId="3" applyAlignment="1" pivotButton="0" quotePrefix="0" xfId="1">
      <alignment vertical="center"/>
    </xf>
    <xf numFmtId="164" fontId="4" fillId="0" borderId="19" applyAlignment="1" pivotButton="0" quotePrefix="0" xfId="1">
      <alignment vertical="center"/>
    </xf>
    <xf numFmtId="164" fontId="4" fillId="0" borderId="21" applyAlignment="1" pivotButton="0" quotePrefix="0" xfId="1">
      <alignment vertical="center"/>
    </xf>
    <xf numFmtId="164" fontId="10" fillId="0" borderId="25" applyAlignment="1" pivotButton="0" quotePrefix="0" xfId="0">
      <alignment horizontal="center"/>
    </xf>
    <xf numFmtId="164" fontId="10" fillId="0" borderId="0" pivotButton="0" quotePrefix="0" xfId="0"/>
    <xf numFmtId="164" fontId="3" fillId="0" borderId="0" applyAlignment="1" pivotButton="0" quotePrefix="0" xfId="1">
      <alignment vertical="center"/>
    </xf>
    <xf numFmtId="164" fontId="3" fillId="0" borderId="29" applyAlignment="1" pivotButton="0" quotePrefix="0" xfId="1">
      <alignment horizontal="center" vertical="center"/>
    </xf>
    <xf numFmtId="164" fontId="10" fillId="0" borderId="0" applyAlignment="1" pivotButton="0" quotePrefix="0" xfId="1">
      <alignment horizontal="center" vertical="center"/>
    </xf>
    <xf numFmtId="164" fontId="4" fillId="0" borderId="9" applyAlignment="1" pivotButton="0" quotePrefix="0" xfId="1">
      <alignment horizontal="center" vertical="center"/>
    </xf>
    <xf numFmtId="164" fontId="4" fillId="0" borderId="11" applyAlignment="1" pivotButton="0" quotePrefix="0" xfId="1">
      <alignment vertical="center"/>
    </xf>
    <xf numFmtId="164" fontId="5" fillId="0" borderId="5" applyAlignment="1" pivotButton="0" quotePrefix="0" xfId="1">
      <alignment vertical="center"/>
    </xf>
    <xf numFmtId="164" fontId="4" fillId="0" borderId="15" applyAlignment="1" pivotButton="0" quotePrefix="0" xfId="1">
      <alignment horizontal="center" vertical="center"/>
    </xf>
    <xf numFmtId="164" fontId="4" fillId="0" borderId="25" applyAlignment="1" pivotButton="0" quotePrefix="0" xfId="1">
      <alignment horizontal="center" vertical="center"/>
    </xf>
    <xf numFmtId="164" fontId="4" fillId="0" borderId="22" applyAlignment="1" pivotButton="0" quotePrefix="0" xfId="1">
      <alignment horizontal="center" vertical="center"/>
    </xf>
    <xf numFmtId="164" fontId="4" fillId="0" borderId="15" applyAlignment="1" pivotButton="0" quotePrefix="0" xfId="1">
      <alignment horizontal="center" vertical="center" wrapText="1"/>
    </xf>
    <xf numFmtId="0" fontId="4" fillId="0" borderId="2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164" fontId="4" fillId="0" borderId="25" applyAlignment="1" pivotButton="0" quotePrefix="0" xfId="1">
      <alignment vertical="center"/>
    </xf>
    <xf numFmtId="164" fontId="5" fillId="0" borderId="30" applyAlignment="1" pivotButton="0" quotePrefix="0" xfId="0">
      <alignment horizontal="center"/>
    </xf>
    <xf numFmtId="0" fontId="0" fillId="0" borderId="30" pivotButton="0" quotePrefix="0" xfId="0"/>
    <xf numFmtId="164" fontId="4" fillId="0" borderId="1" applyAlignment="1" pivotButton="0" quotePrefix="0" xfId="1">
      <alignment horizontal="center" vertical="center" wrapText="1"/>
    </xf>
    <xf numFmtId="164" fontId="4" fillId="0" borderId="12" applyAlignment="1" pivotButton="0" quotePrefix="0" xfId="1">
      <alignment horizontal="center" vertical="center" wrapText="1"/>
    </xf>
    <xf numFmtId="164" fontId="4" fillId="0" borderId="1" pivotButton="0" quotePrefix="0" xfId="1"/>
    <xf numFmtId="164" fontId="4" fillId="0" borderId="2" pivotButton="0" quotePrefix="0" xfId="1"/>
    <xf numFmtId="0" fontId="5" fillId="0" borderId="5" applyAlignment="1" pivotButton="0" quotePrefix="0" xfId="0">
      <alignment horizontal="center"/>
    </xf>
    <xf numFmtId="0" fontId="0" fillId="0" borderId="10" pivotButton="0" quotePrefix="0" xfId="0"/>
    <xf numFmtId="164" fontId="4" fillId="0" borderId="5" pivotButton="0" quotePrefix="0" xfId="1"/>
    <xf numFmtId="0" fontId="5" fillId="0" borderId="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0" borderId="11" pivotButton="0" quotePrefix="0" xfId="0"/>
    <xf numFmtId="164" fontId="5" fillId="0" borderId="0" applyAlignment="1" pivotButton="0" quotePrefix="0" xfId="0">
      <alignment horizontal="center"/>
    </xf>
    <xf numFmtId="164" fontId="4" fillId="0" borderId="40" applyAlignment="1" pivotButton="0" quotePrefix="0" xfId="1">
      <alignment horizontal="center" vertical="center"/>
    </xf>
    <xf numFmtId="164" fontId="5" fillId="0" borderId="8" applyAlignment="1" pivotButton="0" quotePrefix="0" xfId="1">
      <alignment horizontal="center" vertical="center"/>
    </xf>
    <xf numFmtId="164" fontId="4" fillId="0" borderId="8" applyAlignment="1" pivotButton="0" quotePrefix="0" xfId="1">
      <alignment vertical="center"/>
    </xf>
    <xf numFmtId="164" fontId="5" fillId="0" borderId="4" applyAlignment="1" pivotButton="0" quotePrefix="0" xfId="1">
      <alignment horizontal="center" vertical="center"/>
    </xf>
    <xf numFmtId="164" fontId="4" fillId="0" borderId="4" applyAlignment="1" pivotButton="0" quotePrefix="0" xfId="1">
      <alignment vertical="center"/>
    </xf>
    <xf numFmtId="0" fontId="0" fillId="0" borderId="2" pivotButton="0" quotePrefix="0" xfId="0"/>
    <xf numFmtId="164" fontId="5" fillId="0" borderId="25" applyAlignment="1" pivotButton="0" quotePrefix="0" xfId="1">
      <alignment horizontal="center" vertical="center"/>
    </xf>
    <xf numFmtId="164" fontId="4" fillId="0" borderId="21" applyAlignment="1" pivotButton="0" quotePrefix="0" xfId="1">
      <alignment horizontal="center" vertical="center"/>
    </xf>
    <xf numFmtId="164" fontId="4" fillId="0" borderId="0" pivotButton="0" quotePrefix="0" xfId="1"/>
    <xf numFmtId="166" fontId="4" fillId="0" borderId="0" pivotButton="0" quotePrefix="0" xfId="1"/>
    <xf numFmtId="166" fontId="2" fillId="0" borderId="0" pivotButton="0" quotePrefix="0" xfId="1"/>
    <xf numFmtId="166" fontId="5" fillId="0" borderId="0" pivotButton="0" quotePrefix="0" xfId="1"/>
    <xf numFmtId="164" fontId="5" fillId="0" borderId="0" pivotButton="0" quotePrefix="0" xfId="1"/>
    <xf numFmtId="164" fontId="5" fillId="0" borderId="1" applyAlignment="1" pivotButton="0" quotePrefix="0" xfId="1">
      <alignment horizontal="center"/>
    </xf>
    <xf numFmtId="166" fontId="5" fillId="0" borderId="1" applyAlignment="1" pivotButton="0" quotePrefix="0" xfId="1">
      <alignment horizontal="center"/>
    </xf>
    <xf numFmtId="164" fontId="5" fillId="0" borderId="2" applyAlignment="1" pivotButton="0" quotePrefix="0" xfId="1">
      <alignment horizontal="center"/>
    </xf>
    <xf numFmtId="166" fontId="5" fillId="0" borderId="2" applyAlignment="1" pivotButton="0" quotePrefix="0" xfId="1">
      <alignment horizontal="center"/>
    </xf>
    <xf numFmtId="164" fontId="4" fillId="0" borderId="12" applyAlignment="1" pivotButton="0" quotePrefix="0" xfId="1">
      <alignment horizontal="center"/>
    </xf>
    <xf numFmtId="166" fontId="5" fillId="0" borderId="12" applyAlignment="1" pivotButton="0" quotePrefix="0" xfId="1">
      <alignment horizontal="center"/>
    </xf>
    <xf numFmtId="164" fontId="5" fillId="0" borderId="12" applyAlignment="1" pivotButton="0" quotePrefix="0" xfId="1">
      <alignment horizontal="center"/>
    </xf>
    <xf numFmtId="164" fontId="4" fillId="0" borderId="5" applyAlignment="1" pivotButton="0" quotePrefix="0" xfId="1">
      <alignment horizontal="right"/>
    </xf>
    <xf numFmtId="166" fontId="4" fillId="0" borderId="5" pivotButton="0" quotePrefix="0" xfId="1"/>
    <xf numFmtId="166" fontId="4" fillId="0" borderId="0" pivotButton="0" quotePrefix="0" xfId="0"/>
    <xf numFmtId="164" fontId="4" fillId="0" borderId="0" applyAlignment="1" applyProtection="1" pivotButton="0" quotePrefix="0" xfId="1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5" fillId="0" borderId="5" applyAlignment="1" pivotButton="0" quotePrefix="0" xfId="1">
      <alignment horizontal="center"/>
    </xf>
    <xf numFmtId="164" fontId="5" fillId="0" borderId="10" applyAlignment="1" pivotButton="0" quotePrefix="0" xfId="1">
      <alignment horizontal="center"/>
    </xf>
    <xf numFmtId="166" fontId="5" fillId="0" borderId="11" pivotButton="0" quotePrefix="0" xfId="1"/>
    <xf numFmtId="164" fontId="5" fillId="0" borderId="10" pivotButton="0" quotePrefix="0" xfId="1"/>
    <xf numFmtId="167" fontId="5" fillId="0" borderId="10" applyAlignment="1" pivotButton="0" quotePrefix="0" xfId="0">
      <alignment horizontal="right"/>
    </xf>
    <xf numFmtId="164" fontId="5" fillId="0" borderId="10" applyAlignment="1" pivotButton="0" quotePrefix="0" xfId="0">
      <alignment horizontal="center"/>
    </xf>
  </cellXfs>
  <cellStyles count="4">
    <cellStyle name="ปกติ" xfId="0" builtinId="0"/>
    <cellStyle name="จุลภาค" xfId="1" builtinId="3"/>
    <cellStyle name="Hyperlink" xfId="2" builtinId="8"/>
    <cellStyle name="เปอร์เซ็นต์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showGridLines="0" showWhiteSpace="0" view="pageLayout" topLeftCell="A52" zoomScaleNormal="100" zoomScaleSheetLayoutView="90" workbookViewId="0">
      <selection activeCell="J73" sqref="J73"/>
    </sheetView>
  </sheetViews>
  <sheetFormatPr baseColWidth="8" defaultColWidth="9" defaultRowHeight="19.5"/>
  <cols>
    <col width="6.5703125" customWidth="1" style="4" min="1" max="1"/>
    <col width="2.5703125" customWidth="1" style="4" min="2" max="2"/>
    <col width="10.7109375" customWidth="1" style="3" min="3" max="3"/>
    <col width="28.85546875" customWidth="1" style="3" min="4" max="4"/>
    <col width="2.28515625" customWidth="1" style="3" min="5" max="5"/>
    <col width="2.140625" customWidth="1" style="3" min="6" max="6"/>
    <col width="2" customWidth="1" style="3" min="7" max="7"/>
    <col width="10" bestFit="1" customWidth="1" style="273" min="8" max="8"/>
    <col width="9.85546875" customWidth="1" style="4" min="9" max="9"/>
    <col width="13.28515625" customWidth="1" style="273" min="10" max="14"/>
    <col width="11" customWidth="1" style="3" min="15" max="15"/>
    <col width="9" customWidth="1" style="3" min="16" max="16384"/>
  </cols>
  <sheetData>
    <row r="1" ht="24" customHeight="1">
      <c r="A1" s="209" t="inlineStr">
        <is>
          <t>แบบแสดงรายการ ปริมาณงาน และราคา</t>
        </is>
      </c>
    </row>
    <row r="2" ht="24" customHeight="1">
      <c r="A2" s="209" t="inlineStr">
        <is>
          <t>ค่างานต้นทุน</t>
        </is>
      </c>
    </row>
    <row r="3" ht="21.75" customHeight="1">
      <c r="A3" s="52" t="inlineStr">
        <is>
          <t>โครงการงานก่อสร้าง</t>
        </is>
      </c>
      <c r="B3" s="53" t="n"/>
      <c r="C3" s="54" t="n"/>
      <c r="D3" s="54" t="n"/>
      <c r="E3" s="54" t="n"/>
      <c r="F3" s="54" t="n"/>
      <c r="G3" s="54" t="n"/>
      <c r="H3" s="274" t="n"/>
      <c r="I3" s="53" t="n"/>
      <c r="J3" s="274" t="n"/>
      <c r="K3" s="274" t="inlineStr">
        <is>
          <t>แบบเลขที่</t>
        </is>
      </c>
      <c r="L3" s="274" t="n"/>
      <c r="M3" s="274" t="n"/>
      <c r="N3" s="274" t="n"/>
      <c r="O3" s="54" t="n"/>
    </row>
    <row r="4" ht="21.75" customHeight="1">
      <c r="A4" s="56" t="inlineStr">
        <is>
          <t>สถานที่ก่อสร้าง</t>
        </is>
      </c>
      <c r="B4" s="57" t="n"/>
      <c r="C4" s="58" t="n"/>
      <c r="D4" s="58" t="n"/>
      <c r="E4" s="58" t="n"/>
      <c r="F4" s="58" t="n"/>
      <c r="G4" s="58" t="n"/>
      <c r="H4" s="275" t="n"/>
      <c r="I4" s="57" t="n"/>
      <c r="J4" s="275" t="n"/>
      <c r="K4" s="275" t="n"/>
      <c r="L4" s="275" t="n"/>
      <c r="M4" s="275" t="n"/>
      <c r="N4" s="275" t="n"/>
      <c r="O4" s="58" t="n"/>
    </row>
    <row r="5" ht="21.75" customHeight="1">
      <c r="A5" s="56" t="inlineStr">
        <is>
          <t>หน่วยงานเจ้าของโครงการ</t>
        </is>
      </c>
      <c r="B5" s="57" t="n"/>
      <c r="C5" s="58" t="n"/>
      <c r="D5" s="58" t="n"/>
      <c r="E5" s="58" t="n"/>
      <c r="F5" s="58" t="n"/>
      <c r="G5" s="58" t="n"/>
      <c r="H5" s="275" t="n"/>
      <c r="I5" s="57" t="n"/>
      <c r="J5" s="275" t="n"/>
      <c r="K5" s="275" t="n"/>
      <c r="L5" s="275" t="n"/>
      <c r="M5" s="275" t="n"/>
      <c r="N5" s="275" t="n"/>
      <c r="O5" s="58" t="n"/>
    </row>
    <row r="6" ht="21.75" customHeight="1">
      <c r="A6" s="56" t="inlineStr">
        <is>
          <t>ประมาณราคาเมื่อวันที่</t>
        </is>
      </c>
      <c r="B6" s="57" t="n"/>
      <c r="C6" s="58" t="n"/>
      <c r="D6" s="276" t="n"/>
      <c r="E6" s="58" t="n"/>
      <c r="F6" s="58" t="n"/>
      <c r="G6" s="58" t="n"/>
      <c r="H6" s="275" t="n"/>
      <c r="I6" s="57" t="n"/>
      <c r="J6" s="275" t="n"/>
      <c r="K6" s="275" t="n"/>
      <c r="L6" s="275" t="n"/>
      <c r="M6" s="275" t="n"/>
      <c r="N6" s="275" t="n"/>
      <c r="O6" s="61" t="n"/>
    </row>
    <row r="7">
      <c r="O7" s="4" t="inlineStr">
        <is>
          <t>หน่วย : บาท</t>
        </is>
      </c>
    </row>
    <row r="8">
      <c r="A8" s="210" t="inlineStr">
        <is>
          <t>ลำดับที่</t>
        </is>
      </c>
      <c r="B8" s="210" t="inlineStr">
        <is>
          <t>รายการ</t>
        </is>
      </c>
      <c r="C8" s="277" t="n"/>
      <c r="D8" s="277" t="n"/>
      <c r="E8" s="277" t="n"/>
      <c r="F8" s="277" t="n"/>
      <c r="G8" s="278" t="n"/>
      <c r="H8" s="279" t="inlineStr">
        <is>
          <t>จำนวน</t>
        </is>
      </c>
      <c r="I8" s="210" t="inlineStr">
        <is>
          <t>หน่วย</t>
        </is>
      </c>
      <c r="J8" s="279" t="inlineStr">
        <is>
          <t>ค่าวัสดุ</t>
        </is>
      </c>
      <c r="K8" s="280" t="n"/>
      <c r="L8" s="279" t="inlineStr">
        <is>
          <t>ค่าแรงงาน</t>
        </is>
      </c>
      <c r="M8" s="280" t="n"/>
      <c r="N8" s="281" t="inlineStr">
        <is>
          <t>รวมค่าวัสดุและแรงงาน</t>
        </is>
      </c>
      <c r="O8" s="210" t="inlineStr">
        <is>
          <t>หมายเหตุ</t>
        </is>
      </c>
    </row>
    <row r="9">
      <c r="A9" s="282" t="n"/>
      <c r="B9" s="283" t="n"/>
      <c r="C9" s="284" t="n"/>
      <c r="D9" s="284" t="n"/>
      <c r="E9" s="284" t="n"/>
      <c r="F9" s="284" t="n"/>
      <c r="G9" s="285" t="n"/>
      <c r="H9" s="282" t="n"/>
      <c r="I9" s="282" t="n"/>
      <c r="J9" s="279" t="inlineStr">
        <is>
          <t>ราคาต่อหน่วย</t>
        </is>
      </c>
      <c r="K9" s="279" t="inlineStr">
        <is>
          <t>จำนวนเงิน</t>
        </is>
      </c>
      <c r="L9" s="279" t="inlineStr">
        <is>
          <t>ราคาต่อหน่วย</t>
        </is>
      </c>
      <c r="M9" s="279" t="inlineStr">
        <is>
          <t>จำนวนเงิน</t>
        </is>
      </c>
      <c r="N9" s="282" t="n"/>
      <c r="O9" s="282" t="n"/>
    </row>
    <row r="10">
      <c r="A10" s="213" t="n"/>
      <c r="B10" s="172" t="n"/>
      <c r="C10" s="12" t="n"/>
      <c r="D10" s="12" t="n"/>
      <c r="E10" s="12" t="n"/>
      <c r="F10" s="12" t="n"/>
      <c r="G10" s="13" t="n"/>
      <c r="H10" s="286" t="n"/>
      <c r="I10" s="213" t="n"/>
      <c r="J10" s="286" t="n"/>
      <c r="K10" s="286" t="n"/>
      <c r="L10" s="286" t="n"/>
      <c r="M10" s="286" t="n"/>
      <c r="N10" s="286" t="n"/>
      <c r="O10" s="11" t="n"/>
    </row>
    <row r="11">
      <c r="A11" s="6" t="n"/>
      <c r="B11" s="21" t="n"/>
      <c r="G11" s="9" t="n"/>
      <c r="H11" s="287" t="n"/>
      <c r="I11" s="262" t="inlineStr">
        <is>
          <t>รวม</t>
        </is>
      </c>
      <c r="J11" s="287" t="n"/>
      <c r="K11" s="287" t="n"/>
      <c r="L11" s="287" t="n"/>
      <c r="M11" s="287" t="n"/>
      <c r="N11" s="288" t="n"/>
      <c r="O11" s="7" t="n"/>
    </row>
    <row r="12">
      <c r="A12" s="6" t="n"/>
      <c r="B12" s="21" t="n"/>
      <c r="G12" s="9" t="n"/>
      <c r="H12" s="287" t="n"/>
      <c r="I12" s="262" t="n"/>
      <c r="J12" s="287" t="n"/>
      <c r="K12" s="287" t="n"/>
      <c r="L12" s="287" t="n"/>
      <c r="M12" s="287" t="n"/>
      <c r="N12" s="288" t="n"/>
      <c r="O12" s="7" t="n"/>
    </row>
    <row r="13">
      <c r="A13" s="6" t="n"/>
      <c r="B13" s="21" t="n"/>
      <c r="G13" s="9" t="n"/>
      <c r="H13" s="287" t="n"/>
      <c r="I13" s="262" t="n"/>
      <c r="J13" s="287" t="n"/>
      <c r="K13" s="287" t="n"/>
      <c r="L13" s="287" t="n"/>
      <c r="M13" s="287" t="n"/>
      <c r="N13" s="288" t="n"/>
      <c r="O13" s="9" t="n"/>
    </row>
    <row r="14">
      <c r="A14" s="19" t="n"/>
      <c r="B14" s="29" t="inlineStr">
        <is>
          <t>รวมค่าวัสดุและค่าแรงงานเป็นเงินประมาณ</t>
        </is>
      </c>
      <c r="C14" s="15" t="n"/>
      <c r="D14" s="15" t="n"/>
      <c r="E14" s="15" t="n"/>
      <c r="F14" s="15" t="n"/>
      <c r="G14" s="15" t="n"/>
      <c r="H14" s="289" t="n"/>
      <c r="I14" s="16" t="n"/>
      <c r="J14" s="289" t="n"/>
      <c r="K14" s="289" t="n"/>
      <c r="L14" s="289" t="n"/>
      <c r="M14" s="289" t="n"/>
      <c r="N14" s="290" t="n"/>
      <c r="O14" s="178" t="n"/>
    </row>
    <row r="15">
      <c r="A15" s="17" t="n"/>
      <c r="B15" s="17" t="n"/>
      <c r="C15" s="12" t="n"/>
      <c r="D15" s="12" t="n"/>
      <c r="E15" s="12" t="n"/>
      <c r="F15" s="12" t="n"/>
      <c r="G15" s="12" t="n"/>
      <c r="H15" s="291" t="n"/>
      <c r="I15" s="17" t="n"/>
      <c r="J15" s="291" t="n"/>
      <c r="K15" s="291" t="n"/>
      <c r="L15" s="291" t="n"/>
      <c r="M15" s="291" t="n"/>
      <c r="N15" s="291" t="n"/>
      <c r="O15" s="12" t="n"/>
    </row>
    <row r="16">
      <c r="H16" s="292" t="n"/>
      <c r="I16" s="144" t="inlineStr">
        <is>
          <t>หมายเหตุ : แสดงรายการปริมาณ และราคารวม</t>
        </is>
      </c>
      <c r="J16" s="293" t="n"/>
      <c r="K16" s="293" t="inlineStr">
        <is>
          <t>บาท ต่อ 1 หน่วย</t>
        </is>
      </c>
    </row>
    <row r="17"/>
    <row r="18">
      <c r="M18" s="273" t="n"/>
      <c r="N18" s="273" t="n"/>
    </row>
    <row r="19">
      <c r="M19" s="294" t="n"/>
    </row>
    <row r="20">
      <c r="M20" s="294" t="n"/>
    </row>
    <row r="21"/>
    <row r="22"/>
    <row r="23"/>
    <row r="24"/>
    <row r="25" ht="24" customHeight="1">
      <c r="A25" s="209" t="inlineStr">
        <is>
          <t>แบบแสดงรายการ ปริมาณงาน และราคา</t>
        </is>
      </c>
    </row>
    <row r="26" ht="24" customHeight="1">
      <c r="A26" s="209" t="inlineStr">
        <is>
          <t>ค่างานต้นทุน</t>
        </is>
      </c>
    </row>
    <row r="27">
      <c r="O27" s="4" t="inlineStr">
        <is>
          <t>หน่วย : บาท</t>
        </is>
      </c>
    </row>
    <row r="28">
      <c r="A28" s="210" t="inlineStr">
        <is>
          <t>ลำดับที่</t>
        </is>
      </c>
      <c r="B28" s="210" t="inlineStr">
        <is>
          <t>รายการ</t>
        </is>
      </c>
      <c r="C28" s="277" t="n"/>
      <c r="D28" s="277" t="n"/>
      <c r="E28" s="277" t="n"/>
      <c r="F28" s="277" t="n"/>
      <c r="G28" s="278" t="n"/>
      <c r="H28" s="279" t="inlineStr">
        <is>
          <t>จำนวน</t>
        </is>
      </c>
      <c r="I28" s="210" t="inlineStr">
        <is>
          <t>หน่วย</t>
        </is>
      </c>
      <c r="J28" s="279" t="inlineStr">
        <is>
          <t>ค่าวสัดุ</t>
        </is>
      </c>
      <c r="K28" s="280" t="n"/>
      <c r="L28" s="279" t="inlineStr">
        <is>
          <t>ค่าแรงงาน</t>
        </is>
      </c>
      <c r="M28" s="280" t="n"/>
      <c r="N28" s="281" t="inlineStr">
        <is>
          <t>รวมค่าวัสดุและแรงงาน</t>
        </is>
      </c>
      <c r="O28" s="210" t="inlineStr">
        <is>
          <t>หมายเหตุ</t>
        </is>
      </c>
    </row>
    <row r="29">
      <c r="A29" s="282" t="n"/>
      <c r="B29" s="283" t="n"/>
      <c r="C29" s="284" t="n"/>
      <c r="D29" s="284" t="n"/>
      <c r="E29" s="284" t="n"/>
      <c r="F29" s="284" t="n"/>
      <c r="G29" s="285" t="n"/>
      <c r="H29" s="282" t="n"/>
      <c r="I29" s="282" t="n"/>
      <c r="J29" s="279" t="inlineStr">
        <is>
          <t>ราคาต่อหน่วย</t>
        </is>
      </c>
      <c r="K29" s="279" t="inlineStr">
        <is>
          <t>จำนวนเงิน</t>
        </is>
      </c>
      <c r="L29" s="279" t="inlineStr">
        <is>
          <t>ราคาต่อหน่วย</t>
        </is>
      </c>
      <c r="M29" s="279" t="inlineStr">
        <is>
          <t>จำนวนเงิน</t>
        </is>
      </c>
      <c r="N29" s="282" t="n"/>
      <c r="O29" s="282" t="n"/>
    </row>
    <row r="30">
      <c r="A30" s="213" t="n"/>
      <c r="B30" s="172" t="n"/>
      <c r="C30" s="12" t="n"/>
      <c r="D30" s="12" t="n"/>
      <c r="E30" s="12" t="n"/>
      <c r="F30" s="12" t="n"/>
      <c r="G30" s="13" t="n"/>
      <c r="H30" s="286" t="n"/>
      <c r="I30" s="213" t="n"/>
      <c r="J30" s="286" t="n"/>
      <c r="K30" s="286" t="n"/>
      <c r="L30" s="286" t="n"/>
      <c r="M30" s="286" t="n"/>
      <c r="N30" s="286" t="n"/>
      <c r="O30" s="11" t="n"/>
    </row>
    <row r="31">
      <c r="A31" s="262" t="n"/>
      <c r="B31" s="21" t="n"/>
      <c r="G31" s="9" t="n"/>
      <c r="H31" s="287" t="n"/>
      <c r="I31" s="6" t="n"/>
      <c r="J31" s="287" t="n"/>
      <c r="K31" s="287" t="n"/>
      <c r="L31" s="287" t="n"/>
      <c r="M31" s="287" t="n"/>
      <c r="N31" s="287" t="n"/>
      <c r="O31" s="7" t="n"/>
    </row>
    <row r="32">
      <c r="A32" s="6" t="n"/>
      <c r="B32" s="18" t="n"/>
      <c r="G32" s="9" t="n"/>
      <c r="H32" s="287" t="n"/>
      <c r="I32" s="6" t="n"/>
      <c r="J32" s="287" t="n"/>
      <c r="K32" s="287" t="n"/>
      <c r="L32" s="287" t="n"/>
      <c r="M32" s="287" t="n"/>
      <c r="N32" s="287" t="n"/>
      <c r="O32" s="7" t="n"/>
    </row>
    <row r="33">
      <c r="A33" s="6" t="n"/>
      <c r="B33" s="183" t="inlineStr">
        <is>
          <t>-</t>
        </is>
      </c>
      <c r="C33" s="3" t="n"/>
      <c r="G33" s="9" t="n"/>
      <c r="H33" s="295" t="n"/>
      <c r="I33" s="6" t="n"/>
      <c r="J33" s="287" t="n"/>
      <c r="K33" s="287" t="n"/>
      <c r="L33" s="287" t="n"/>
      <c r="M33" s="287" t="n"/>
      <c r="N33" s="287" t="n"/>
      <c r="O33" s="7" t="n"/>
    </row>
    <row r="34">
      <c r="A34" s="6" t="n"/>
      <c r="B34" s="183" t="n"/>
      <c r="C34" s="3" t="n"/>
      <c r="G34" s="9" t="n"/>
      <c r="H34" s="295" t="n"/>
      <c r="I34" s="6" t="n"/>
      <c r="J34" s="287" t="n"/>
      <c r="K34" s="287" t="n"/>
      <c r="L34" s="287" t="n"/>
      <c r="M34" s="287" t="n"/>
      <c r="N34" s="287" t="n"/>
      <c r="O34" s="7" t="n"/>
    </row>
    <row r="35">
      <c r="A35" s="6" t="n"/>
      <c r="B35" s="183" t="n"/>
      <c r="C35" s="3" t="n"/>
      <c r="G35" s="9" t="n"/>
      <c r="H35" s="295" t="n"/>
      <c r="I35" s="6" t="n"/>
      <c r="J35" s="287" t="n"/>
      <c r="K35" s="287" t="n"/>
      <c r="L35" s="287" t="n"/>
      <c r="M35" s="287" t="n"/>
      <c r="N35" s="287" t="n"/>
      <c r="O35" s="7" t="n"/>
    </row>
    <row r="36">
      <c r="A36" s="6" t="n"/>
      <c r="B36" s="183" t="n"/>
      <c r="C36" s="3" t="n"/>
      <c r="G36" s="9" t="n"/>
      <c r="H36" s="295" t="n"/>
      <c r="I36" s="6" t="n"/>
      <c r="J36" s="287" t="n"/>
      <c r="K36" s="287" t="n"/>
      <c r="L36" s="287" t="n"/>
      <c r="M36" s="287" t="n"/>
      <c r="N36" s="287" t="n"/>
      <c r="O36" s="7" t="n"/>
    </row>
    <row r="37">
      <c r="A37" s="6" t="n"/>
      <c r="B37" s="183" t="n"/>
      <c r="C37" s="3" t="n"/>
      <c r="G37" s="9" t="n"/>
      <c r="H37" s="295" t="n"/>
      <c r="I37" s="6" t="n"/>
      <c r="J37" s="287" t="n"/>
      <c r="K37" s="287" t="n"/>
      <c r="L37" s="287" t="n"/>
      <c r="M37" s="287" t="n"/>
      <c r="N37" s="287" t="n"/>
      <c r="O37" s="7" t="n"/>
    </row>
    <row r="38">
      <c r="A38" s="6" t="n"/>
      <c r="B38" s="183" t="n"/>
      <c r="C38" s="3" t="n"/>
      <c r="G38" s="9" t="n"/>
      <c r="H38" s="295" t="n"/>
      <c r="I38" s="6" t="n"/>
      <c r="J38" s="287" t="n"/>
      <c r="K38" s="287" t="n"/>
      <c r="L38" s="287" t="n"/>
      <c r="M38" s="287" t="n"/>
      <c r="N38" s="287" t="n"/>
      <c r="O38" s="7" t="n"/>
    </row>
    <row r="39">
      <c r="A39" s="6" t="n"/>
      <c r="B39" s="183" t="n"/>
      <c r="C39" s="3" t="n"/>
      <c r="G39" s="9" t="n"/>
      <c r="H39" s="295" t="n"/>
      <c r="I39" s="6" t="n"/>
      <c r="J39" s="287" t="n"/>
      <c r="K39" s="287" t="n"/>
      <c r="L39" s="287" t="n"/>
      <c r="M39" s="287" t="n"/>
      <c r="N39" s="287" t="n"/>
      <c r="O39" s="7" t="n"/>
    </row>
    <row r="40">
      <c r="A40" s="6" t="n"/>
      <c r="B40" s="183" t="n"/>
      <c r="C40" s="3" t="n"/>
      <c r="G40" s="9" t="n"/>
      <c r="H40" s="295" t="n"/>
      <c r="I40" s="6" t="n"/>
      <c r="J40" s="287" t="n"/>
      <c r="K40" s="287" t="n"/>
      <c r="L40" s="287" t="n"/>
      <c r="M40" s="287" t="n"/>
      <c r="N40" s="287" t="n"/>
      <c r="O40" s="7" t="n"/>
    </row>
    <row r="41">
      <c r="A41" s="6" t="n"/>
      <c r="B41" s="183" t="n"/>
      <c r="C41" s="3" t="n"/>
      <c r="G41" s="9" t="n"/>
      <c r="H41" s="295" t="n"/>
      <c r="I41" s="6" t="n"/>
      <c r="J41" s="287" t="n"/>
      <c r="K41" s="287" t="n"/>
      <c r="L41" s="287" t="n"/>
      <c r="M41" s="287" t="n"/>
      <c r="N41" s="287" t="n"/>
      <c r="O41" s="7" t="n"/>
    </row>
    <row r="42">
      <c r="A42" s="6" t="n"/>
      <c r="B42" s="183" t="n"/>
      <c r="C42" s="3" t="n"/>
      <c r="G42" s="9" t="n"/>
      <c r="H42" s="295" t="n"/>
      <c r="I42" s="6" t="n"/>
      <c r="J42" s="287" t="n"/>
      <c r="K42" s="287" t="n"/>
      <c r="L42" s="287" t="n"/>
      <c r="M42" s="287" t="n"/>
      <c r="N42" s="287" t="n"/>
      <c r="O42" s="7" t="n"/>
    </row>
    <row r="43">
      <c r="A43" s="6" t="n"/>
      <c r="B43" s="183" t="n"/>
      <c r="C43" s="3" t="n"/>
      <c r="G43" s="9" t="n"/>
      <c r="H43" s="295" t="n"/>
      <c r="I43" s="6" t="n"/>
      <c r="J43" s="287" t="n"/>
      <c r="K43" s="287" t="n"/>
      <c r="L43" s="287" t="n"/>
      <c r="M43" s="287" t="n"/>
      <c r="N43" s="287" t="n"/>
      <c r="O43" s="7" t="n"/>
    </row>
    <row r="44">
      <c r="A44" s="6" t="n"/>
      <c r="B44" s="18" t="n"/>
      <c r="G44" s="9" t="n"/>
      <c r="H44" s="287" t="n"/>
      <c r="I44" s="6" t="n"/>
      <c r="J44" s="287" t="n"/>
      <c r="K44" s="287" t="n"/>
      <c r="L44" s="287" t="n"/>
      <c r="M44" s="287" t="n"/>
      <c r="N44" s="287" t="n"/>
      <c r="O44" s="7" t="n"/>
    </row>
    <row r="45">
      <c r="A45" s="6" t="n"/>
      <c r="B45" s="183" t="n"/>
      <c r="C45" s="3" t="n"/>
      <c r="G45" s="9" t="n"/>
      <c r="H45" s="295" t="n"/>
      <c r="I45" s="6" t="n"/>
      <c r="J45" s="287" t="n"/>
      <c r="K45" s="287" t="n"/>
      <c r="L45" s="287" t="n"/>
      <c r="M45" s="287" t="n"/>
      <c r="N45" s="287" t="n"/>
      <c r="O45" s="7" t="n"/>
    </row>
    <row r="46">
      <c r="A46" s="6" t="n"/>
      <c r="B46" s="183" t="n"/>
      <c r="C46" s="3" t="n"/>
      <c r="G46" s="9" t="n"/>
      <c r="H46" s="295" t="n"/>
      <c r="I46" s="6" t="n"/>
      <c r="J46" s="287" t="n"/>
      <c r="K46" s="287" t="n"/>
      <c r="L46" s="287" t="n"/>
      <c r="M46" s="287" t="n"/>
      <c r="N46" s="287" t="n"/>
      <c r="O46" s="7" t="n"/>
    </row>
    <row r="47">
      <c r="A47" s="6" t="n"/>
      <c r="B47" s="183" t="n"/>
      <c r="C47" s="3" t="n"/>
      <c r="G47" s="9" t="n"/>
      <c r="H47" s="295" t="n"/>
      <c r="I47" s="6" t="n"/>
      <c r="J47" s="287" t="n"/>
      <c r="K47" s="287" t="n"/>
      <c r="L47" s="287" t="n"/>
      <c r="M47" s="287" t="n"/>
      <c r="N47" s="287" t="n"/>
      <c r="O47" s="7" t="n"/>
    </row>
    <row r="48">
      <c r="A48" s="6" t="n"/>
      <c r="B48" s="183" t="n"/>
      <c r="C48" s="3" t="n"/>
      <c r="G48" s="9" t="n"/>
      <c r="H48" s="295" t="n"/>
      <c r="I48" s="6" t="n"/>
      <c r="J48" s="287" t="n"/>
      <c r="K48" s="287" t="n"/>
      <c r="L48" s="287" t="n"/>
      <c r="M48" s="287" t="n"/>
      <c r="N48" s="287" t="n"/>
      <c r="O48" s="7" t="n"/>
    </row>
    <row r="49">
      <c r="A49" s="214" t="n"/>
      <c r="B49" s="201" t="n"/>
      <c r="C49" s="202" t="n"/>
      <c r="D49" s="202" t="n"/>
      <c r="E49" s="202" t="n"/>
      <c r="F49" s="202" t="n"/>
      <c r="G49" s="203" t="n"/>
      <c r="H49" s="296" t="n"/>
      <c r="I49" s="214" t="n"/>
      <c r="J49" s="297" t="n"/>
      <c r="K49" s="297" t="n"/>
      <c r="L49" s="297" t="n"/>
      <c r="M49" s="297" t="n"/>
      <c r="N49" s="297" t="n"/>
      <c r="O49" s="206" t="n"/>
    </row>
    <row r="50">
      <c r="A50" s="6" t="n"/>
      <c r="B50" s="21" t="n"/>
      <c r="C50" s="22" t="n"/>
      <c r="G50" s="9" t="n"/>
      <c r="H50" s="298" t="inlineStr">
        <is>
          <t>-</t>
        </is>
      </c>
      <c r="I50" s="6" t="inlineStr">
        <is>
          <t>-</t>
        </is>
      </c>
      <c r="J50" s="287" t="n"/>
      <c r="K50" s="287" t="n"/>
      <c r="L50" s="287" t="n"/>
      <c r="M50" s="287" t="n"/>
      <c r="N50" s="287" t="n"/>
      <c r="O50" s="7" t="n"/>
    </row>
    <row r="51">
      <c r="A51" s="6" t="n"/>
      <c r="B51" s="183" t="n"/>
      <c r="G51" s="9" t="n"/>
      <c r="H51" s="287" t="n"/>
      <c r="I51" s="6" t="n"/>
      <c r="J51" s="287" t="n"/>
      <c r="K51" s="287" t="n"/>
      <c r="L51" s="287" t="n"/>
      <c r="M51" s="287" t="n"/>
      <c r="N51" s="287" t="n"/>
      <c r="O51" s="7" t="n"/>
    </row>
    <row r="52">
      <c r="A52" s="262" t="n"/>
      <c r="B52" s="21" t="n"/>
      <c r="G52" s="9" t="n"/>
      <c r="H52" s="287" t="n"/>
      <c r="I52" s="6" t="n"/>
      <c r="J52" s="287" t="n"/>
      <c r="K52" s="287" t="n"/>
      <c r="L52" s="287" t="n"/>
      <c r="M52" s="287" t="n"/>
      <c r="N52" s="287" t="n"/>
      <c r="O52" s="7" t="n"/>
    </row>
    <row r="53">
      <c r="A53" s="6" t="n"/>
      <c r="B53" s="183" t="n"/>
      <c r="C53" s="3" t="n"/>
      <c r="G53" s="9" t="n"/>
      <c r="H53" s="295" t="n"/>
      <c r="I53" s="6" t="n"/>
      <c r="J53" s="287" t="n"/>
      <c r="K53" s="287" t="n"/>
      <c r="L53" s="287" t="n"/>
      <c r="M53" s="287" t="n"/>
      <c r="N53" s="287" t="n"/>
      <c r="O53" s="7" t="n"/>
    </row>
    <row r="54">
      <c r="A54" s="6" t="n"/>
      <c r="B54" s="183" t="n"/>
      <c r="C54" s="3" t="n"/>
      <c r="G54" s="9" t="n"/>
      <c r="H54" s="295" t="n"/>
      <c r="I54" s="6" t="n"/>
      <c r="J54" s="287" t="n"/>
      <c r="K54" s="287" t="n"/>
      <c r="L54" s="287" t="n"/>
      <c r="M54" s="287" t="n"/>
      <c r="N54" s="287" t="n"/>
      <c r="O54" s="7" t="n"/>
    </row>
    <row r="55">
      <c r="A55" s="6" t="n"/>
      <c r="B55" s="183" t="n"/>
      <c r="C55" s="3" t="n"/>
      <c r="G55" s="9" t="n"/>
      <c r="H55" s="295" t="n"/>
      <c r="I55" s="6" t="n"/>
      <c r="J55" s="287" t="n"/>
      <c r="K55" s="287" t="n"/>
      <c r="L55" s="287" t="n"/>
      <c r="M55" s="287" t="n"/>
      <c r="N55" s="287" t="n"/>
      <c r="O55" s="7" t="n"/>
    </row>
    <row r="56">
      <c r="A56" s="6" t="n"/>
      <c r="B56" s="183" t="n"/>
      <c r="C56" s="3" t="n"/>
      <c r="G56" s="9" t="n"/>
      <c r="H56" s="295" t="n"/>
      <c r="I56" s="6" t="n"/>
      <c r="J56" s="287" t="n"/>
      <c r="K56" s="287" t="n"/>
      <c r="L56" s="287" t="n"/>
      <c r="M56" s="287" t="n"/>
      <c r="N56" s="287" t="n"/>
      <c r="O56" s="7" t="n"/>
    </row>
    <row r="57">
      <c r="A57" s="6" t="n"/>
      <c r="B57" s="183" t="n"/>
      <c r="C57" s="3" t="n"/>
      <c r="G57" s="9" t="n"/>
      <c r="H57" s="295" t="n"/>
      <c r="I57" s="6" t="n"/>
      <c r="J57" s="287" t="n"/>
      <c r="K57" s="287" t="n"/>
      <c r="L57" s="287" t="n"/>
      <c r="M57" s="287" t="n"/>
      <c r="N57" s="287" t="n"/>
      <c r="O57" s="7" t="n"/>
    </row>
    <row r="58">
      <c r="A58" s="6" t="n"/>
      <c r="B58" s="183" t="n"/>
      <c r="C58" s="3" t="n"/>
      <c r="G58" s="9" t="n"/>
      <c r="H58" s="295" t="n"/>
      <c r="I58" s="6" t="n"/>
      <c r="J58" s="287" t="n"/>
      <c r="K58" s="287" t="n"/>
      <c r="L58" s="287" t="n"/>
      <c r="M58" s="287" t="n"/>
      <c r="N58" s="287" t="n"/>
      <c r="O58" s="7" t="n"/>
    </row>
    <row r="59">
      <c r="A59" s="6" t="n"/>
      <c r="B59" s="183" t="n"/>
      <c r="C59" s="3" t="n"/>
      <c r="G59" s="9" t="n"/>
      <c r="H59" s="295" t="n"/>
      <c r="I59" s="6" t="n"/>
      <c r="J59" s="287" t="n"/>
      <c r="K59" s="287" t="n"/>
      <c r="L59" s="287" t="n"/>
      <c r="M59" s="287" t="n"/>
      <c r="N59" s="287" t="n"/>
      <c r="O59" s="7" t="n"/>
    </row>
    <row r="60">
      <c r="A60" s="6" t="n"/>
      <c r="B60" s="183" t="n"/>
      <c r="C60" s="3" t="n"/>
      <c r="G60" s="9" t="n"/>
      <c r="H60" s="295" t="n"/>
      <c r="I60" s="6" t="n"/>
      <c r="J60" s="287" t="n"/>
      <c r="K60" s="287" t="n"/>
      <c r="L60" s="287" t="n"/>
      <c r="M60" s="287" t="n"/>
      <c r="N60" s="287" t="n"/>
      <c r="O60" s="7" t="n"/>
    </row>
    <row r="61">
      <c r="A61" s="6" t="n"/>
      <c r="B61" s="183" t="n"/>
      <c r="C61" s="3" t="n"/>
      <c r="G61" s="9" t="n"/>
      <c r="H61" s="295" t="n"/>
      <c r="I61" s="6" t="n"/>
      <c r="J61" s="287" t="n"/>
      <c r="K61" s="287" t="n"/>
      <c r="L61" s="287" t="n"/>
      <c r="M61" s="287" t="n"/>
      <c r="N61" s="287" t="n"/>
      <c r="O61" s="7" t="n"/>
    </row>
    <row r="62">
      <c r="A62" s="6" t="n"/>
      <c r="B62" s="183" t="n"/>
      <c r="C62" s="3" t="n"/>
      <c r="G62" s="9" t="n"/>
      <c r="H62" s="295" t="n"/>
      <c r="I62" s="6" t="n"/>
      <c r="J62" s="287" t="n"/>
      <c r="K62" s="287" t="n"/>
      <c r="L62" s="287" t="n"/>
      <c r="M62" s="287" t="n"/>
      <c r="N62" s="287" t="n"/>
      <c r="O62" s="7" t="n"/>
    </row>
    <row r="63">
      <c r="A63" s="6" t="n"/>
      <c r="B63" s="183" t="n"/>
      <c r="C63" s="3" t="n"/>
      <c r="G63" s="9" t="n"/>
      <c r="H63" s="295" t="n"/>
      <c r="I63" s="6" t="n"/>
      <c r="J63" s="287" t="n"/>
      <c r="K63" s="287" t="n"/>
      <c r="L63" s="287" t="n"/>
      <c r="M63" s="287" t="n"/>
      <c r="N63" s="287" t="n"/>
      <c r="O63" s="7" t="n"/>
    </row>
    <row r="64">
      <c r="A64" s="6" t="n"/>
      <c r="B64" s="21" t="n"/>
      <c r="C64" s="22" t="n"/>
      <c r="G64" s="9" t="n"/>
      <c r="H64" s="298" t="n"/>
      <c r="I64" s="6" t="n"/>
      <c r="J64" s="287" t="n"/>
      <c r="K64" s="287" t="n"/>
      <c r="L64" s="287" t="n"/>
      <c r="M64" s="287" t="n"/>
      <c r="N64" s="287" t="n"/>
      <c r="O64" s="7" t="n"/>
    </row>
    <row r="65">
      <c r="A65" s="6" t="n"/>
      <c r="B65" s="21" t="n"/>
      <c r="C65" s="22" t="n"/>
      <c r="G65" s="9" t="n"/>
      <c r="H65" s="298" t="n"/>
      <c r="I65" s="6" t="n"/>
      <c r="J65" s="287" t="n"/>
      <c r="K65" s="287" t="n"/>
      <c r="L65" s="287" t="n"/>
      <c r="M65" s="287" t="n"/>
      <c r="N65" s="287" t="n"/>
      <c r="O65" s="7" t="n"/>
    </row>
    <row r="66">
      <c r="A66" s="6" t="n"/>
      <c r="B66" s="21" t="n"/>
      <c r="G66" s="9" t="n"/>
      <c r="H66" s="287" t="n"/>
      <c r="I66" s="6" t="n"/>
      <c r="J66" s="287" t="n"/>
      <c r="K66" s="287" t="n"/>
      <c r="L66" s="287" t="n"/>
      <c r="M66" s="287" t="n"/>
      <c r="N66" s="287" t="n"/>
      <c r="O66" s="7" t="n"/>
    </row>
    <row r="67">
      <c r="A67" s="6" t="n"/>
      <c r="B67" s="18" t="n"/>
      <c r="G67" s="9" t="n"/>
      <c r="H67" s="287" t="n"/>
      <c r="I67" s="6" t="n"/>
      <c r="J67" s="287" t="n"/>
      <c r="K67" s="287" t="n"/>
      <c r="L67" s="287" t="n"/>
      <c r="M67" s="287" t="n"/>
      <c r="N67" s="287" t="n"/>
      <c r="O67" s="7" t="n"/>
    </row>
    <row r="68">
      <c r="A68" s="6" t="n"/>
      <c r="B68" s="183" t="n"/>
      <c r="C68" s="3" t="n"/>
      <c r="G68" s="9" t="n"/>
      <c r="H68" s="295" t="n"/>
      <c r="I68" s="6" t="n"/>
      <c r="J68" s="287" t="n"/>
      <c r="K68" s="287" t="n"/>
      <c r="L68" s="287" t="n"/>
      <c r="M68" s="287" t="n"/>
      <c r="N68" s="287" t="n"/>
      <c r="O68" s="7" t="n"/>
    </row>
    <row r="69">
      <c r="A69" s="214" t="n"/>
      <c r="B69" s="201" t="n"/>
      <c r="C69" s="202" t="n"/>
      <c r="D69" s="202" t="n"/>
      <c r="E69" s="202" t="n"/>
      <c r="F69" s="202" t="n"/>
      <c r="G69" s="203" t="n"/>
      <c r="H69" s="296" t="n"/>
      <c r="I69" s="214" t="n"/>
      <c r="J69" s="297" t="n"/>
      <c r="K69" s="297" t="n"/>
      <c r="L69" s="297" t="n"/>
      <c r="M69" s="297" t="n"/>
      <c r="N69" s="297" t="n"/>
      <c r="O69" s="206" t="n"/>
    </row>
    <row r="70">
      <c r="A70" s="6" t="n"/>
      <c r="B70" s="183" t="n"/>
      <c r="C70" s="3" t="n"/>
      <c r="G70" s="9" t="n"/>
      <c r="H70" s="295" t="n"/>
      <c r="I70" s="6" t="n"/>
      <c r="J70" s="287" t="n"/>
      <c r="K70" s="287" t="n"/>
      <c r="L70" s="287" t="n"/>
      <c r="M70" s="287" t="n"/>
      <c r="N70" s="287" t="n"/>
      <c r="O70" s="7" t="n"/>
    </row>
    <row r="71">
      <c r="A71" s="6" t="n"/>
      <c r="B71" s="183" t="n"/>
      <c r="C71" s="3" t="n"/>
      <c r="G71" s="9" t="n"/>
      <c r="H71" s="295" t="n"/>
      <c r="I71" s="6" t="n"/>
      <c r="J71" s="287" t="n"/>
      <c r="K71" s="287" t="n"/>
      <c r="L71" s="287" t="n"/>
      <c r="M71" s="287" t="n"/>
      <c r="N71" s="287" t="n"/>
      <c r="O71" s="7" t="n"/>
    </row>
    <row r="72">
      <c r="A72" s="6" t="n"/>
      <c r="B72" s="183" t="n"/>
      <c r="C72" s="3" t="n"/>
      <c r="G72" s="9" t="n"/>
      <c r="H72" s="295" t="n"/>
      <c r="I72" s="6" t="n"/>
      <c r="J72" s="287" t="n"/>
      <c r="K72" s="287" t="n"/>
      <c r="L72" s="287" t="n"/>
      <c r="M72" s="287" t="n"/>
      <c r="N72" s="287" t="n"/>
      <c r="O72" s="7" t="n"/>
    </row>
    <row r="73">
      <c r="A73" s="6" t="n"/>
      <c r="B73" s="21" t="n"/>
      <c r="C73" s="22" t="n"/>
      <c r="G73" s="9" t="n"/>
      <c r="H73" s="298" t="n"/>
      <c r="I73" s="6" t="n"/>
      <c r="J73" s="287" t="n"/>
      <c r="K73" s="287" t="n"/>
      <c r="L73" s="287" t="n"/>
      <c r="M73" s="287" t="n"/>
      <c r="N73" s="287" t="n"/>
      <c r="O73" s="7" t="n"/>
    </row>
    <row r="74">
      <c r="A74" s="19" t="n"/>
      <c r="B74" s="29" t="inlineStr">
        <is>
          <t>รวมค่าวัสดุ และแรงงาน</t>
        </is>
      </c>
      <c r="C74" s="15" t="n"/>
      <c r="D74" s="15" t="n"/>
      <c r="E74" s="15" t="n"/>
      <c r="F74" s="15" t="n"/>
      <c r="G74" s="15" t="n"/>
      <c r="H74" s="289" t="n"/>
      <c r="I74" s="16" t="n"/>
      <c r="J74" s="289" t="n"/>
      <c r="K74" s="289" t="n"/>
      <c r="L74" s="289" t="n"/>
      <c r="M74" s="289" t="n"/>
      <c r="N74" s="289" t="n"/>
      <c r="O74" s="178" t="n"/>
    </row>
    <row r="75">
      <c r="A75" s="17" t="n"/>
      <c r="B75" s="17" t="n"/>
      <c r="C75" s="12" t="n"/>
      <c r="D75" s="12" t="n"/>
      <c r="E75" s="12" t="n"/>
      <c r="F75" s="12" t="n"/>
      <c r="G75" s="12" t="n"/>
      <c r="H75" s="291" t="n"/>
      <c r="I75" s="17" t="n"/>
      <c r="J75" s="291" t="n"/>
      <c r="K75" s="291" t="n"/>
      <c r="L75" s="291" t="n"/>
      <c r="M75" s="291" t="n"/>
      <c r="N75" s="291" t="n"/>
      <c r="O75" s="12" t="n"/>
    </row>
    <row r="76">
      <c r="H76" s="273" t="n"/>
      <c r="J76" s="273" t="n"/>
      <c r="K76" s="273" t="n"/>
      <c r="L76" s="273" t="n"/>
      <c r="M76" s="273" t="n"/>
      <c r="N76" s="273" t="n"/>
    </row>
    <row r="77">
      <c r="H77" s="273" t="n"/>
      <c r="J77" s="273" t="n"/>
      <c r="K77" s="273" t="n"/>
      <c r="L77" s="273" t="n"/>
      <c r="M77" s="273" t="n"/>
      <c r="N77" s="273" t="n"/>
    </row>
    <row r="78">
      <c r="H78" s="273" t="n"/>
      <c r="J78" s="273" t="n"/>
      <c r="K78" s="273" t="n"/>
      <c r="L78" s="273" t="n"/>
      <c r="M78" s="273" t="n"/>
      <c r="N78" s="273" t="n"/>
    </row>
    <row r="79">
      <c r="H79" s="273" t="n"/>
      <c r="J79" s="273" t="n"/>
      <c r="K79" s="273" t="n"/>
      <c r="L79" s="273" t="n"/>
      <c r="M79" s="273" t="n"/>
      <c r="N79" s="273" t="n"/>
    </row>
    <row r="80">
      <c r="H80" s="273" t="n"/>
      <c r="J80" s="273" t="n"/>
      <c r="K80" s="273" t="n"/>
      <c r="L80" s="273" t="n"/>
      <c r="M80" s="273" t="n"/>
      <c r="N80" s="273" t="n"/>
    </row>
    <row r="81">
      <c r="H81" s="273" t="n"/>
      <c r="J81" s="273" t="n"/>
      <c r="K81" s="273" t="n"/>
      <c r="L81" s="273" t="n"/>
      <c r="M81" s="273" t="n"/>
      <c r="N81" s="273" t="n"/>
    </row>
    <row r="82">
      <c r="H82" s="273" t="n"/>
      <c r="J82" s="273" t="n"/>
      <c r="K82" s="273" t="n"/>
      <c r="L82" s="273" t="n"/>
      <c r="M82" s="273" t="n"/>
      <c r="N82" s="273" t="n"/>
    </row>
    <row r="83">
      <c r="H83" s="273" t="n"/>
      <c r="J83" s="273" t="n"/>
      <c r="K83" s="273" t="n"/>
      <c r="L83" s="273" t="n"/>
      <c r="M83" s="273" t="n"/>
      <c r="N83" s="273" t="n"/>
    </row>
    <row r="84">
      <c r="H84" s="273" t="n"/>
      <c r="J84" s="273" t="n"/>
      <c r="K84" s="273" t="n"/>
      <c r="L84" s="273" t="n"/>
      <c r="M84" s="273" t="n"/>
      <c r="N84" s="273" t="n"/>
    </row>
    <row r="85">
      <c r="H85" s="273" t="n"/>
      <c r="J85" s="273" t="n"/>
      <c r="K85" s="273" t="n"/>
      <c r="L85" s="273" t="n"/>
      <c r="M85" s="273" t="n"/>
      <c r="N85" s="273" t="n"/>
    </row>
    <row r="86">
      <c r="H86" s="273" t="n"/>
      <c r="J86" s="273" t="n"/>
      <c r="K86" s="273" t="n"/>
      <c r="L86" s="273" t="n"/>
      <c r="M86" s="273" t="n"/>
      <c r="N86" s="273" t="n"/>
    </row>
    <row r="87">
      <c r="H87" s="273" t="n"/>
      <c r="J87" s="273" t="n"/>
      <c r="K87" s="273" t="n"/>
      <c r="L87" s="273" t="n"/>
      <c r="M87" s="273" t="n"/>
      <c r="N87" s="273" t="n"/>
    </row>
    <row r="88">
      <c r="H88" s="273" t="n"/>
      <c r="J88" s="273" t="n"/>
      <c r="K88" s="273" t="n"/>
      <c r="L88" s="273" t="n"/>
      <c r="M88" s="273" t="n"/>
      <c r="N88" s="273" t="n"/>
    </row>
    <row r="89">
      <c r="H89" s="273" t="n"/>
      <c r="J89" s="273" t="n"/>
      <c r="K89" s="273" t="n"/>
      <c r="L89" s="273" t="n"/>
      <c r="M89" s="273" t="n"/>
      <c r="N89" s="273" t="n"/>
    </row>
    <row r="90">
      <c r="H90" s="273" t="n"/>
      <c r="J90" s="273" t="n"/>
      <c r="K90" s="273" t="n"/>
      <c r="L90" s="273" t="n"/>
      <c r="M90" s="273" t="n"/>
      <c r="N90" s="273" t="n"/>
    </row>
    <row r="91">
      <c r="H91" s="273" t="n"/>
      <c r="J91" s="273" t="n"/>
      <c r="K91" s="273" t="n"/>
      <c r="L91" s="273" t="n"/>
      <c r="M91" s="273" t="n"/>
      <c r="N91" s="273" t="n"/>
    </row>
    <row r="92">
      <c r="H92" s="273" t="n"/>
      <c r="J92" s="273" t="n"/>
      <c r="K92" s="273" t="n"/>
      <c r="L92" s="273" t="n"/>
      <c r="M92" s="273" t="n"/>
      <c r="N92" s="273" t="n"/>
    </row>
    <row r="93">
      <c r="H93" s="273" t="n"/>
      <c r="J93" s="273" t="n"/>
      <c r="K93" s="273" t="n"/>
      <c r="L93" s="273" t="n"/>
      <c r="M93" s="273" t="n"/>
      <c r="N93" s="273" t="n"/>
    </row>
    <row r="94">
      <c r="H94" s="273" t="n"/>
      <c r="J94" s="273" t="n"/>
      <c r="K94" s="273" t="n"/>
      <c r="L94" s="273" t="n"/>
      <c r="M94" s="273" t="n"/>
      <c r="N94" s="273" t="n"/>
    </row>
    <row r="95">
      <c r="H95" s="273" t="n"/>
      <c r="J95" s="273" t="n"/>
      <c r="K95" s="273" t="n"/>
      <c r="L95" s="273" t="n"/>
      <c r="M95" s="273" t="n"/>
      <c r="N95" s="273" t="n"/>
    </row>
    <row r="96">
      <c r="H96" s="273" t="n"/>
      <c r="J96" s="273" t="n"/>
      <c r="K96" s="273" t="n"/>
      <c r="L96" s="273" t="n"/>
      <c r="M96" s="273" t="n"/>
      <c r="N96" s="273" t="n"/>
    </row>
    <row r="97">
      <c r="H97" s="273" t="n"/>
      <c r="J97" s="273" t="n"/>
      <c r="K97" s="273" t="n"/>
      <c r="L97" s="273" t="n"/>
      <c r="M97" s="273" t="n"/>
      <c r="N97" s="273" t="n"/>
    </row>
    <row r="98">
      <c r="H98" s="273" t="n"/>
      <c r="J98" s="273" t="n"/>
      <c r="K98" s="273" t="n"/>
      <c r="L98" s="273" t="n"/>
      <c r="M98" s="273" t="n"/>
      <c r="N98" s="273" t="n"/>
    </row>
    <row r="99">
      <c r="H99" s="273" t="n"/>
      <c r="J99" s="273" t="n"/>
      <c r="K99" s="273" t="n"/>
      <c r="L99" s="273" t="n"/>
      <c r="M99" s="273" t="n"/>
      <c r="N99" s="273" t="n"/>
    </row>
  </sheetData>
  <mergeCells count="22">
    <mergeCell ref="A25:O25"/>
    <mergeCell ref="J28:K28"/>
    <mergeCell ref="L28:M28"/>
    <mergeCell ref="I28:I29"/>
    <mergeCell ref="A26:O26"/>
    <mergeCell ref="A2:O2"/>
    <mergeCell ref="M20:N20"/>
    <mergeCell ref="N8:N9"/>
    <mergeCell ref="L8:M8"/>
    <mergeCell ref="B8:G9"/>
    <mergeCell ref="A8:A9"/>
    <mergeCell ref="I8:I9"/>
    <mergeCell ref="O8:O9"/>
    <mergeCell ref="H28:H29"/>
    <mergeCell ref="N28:N29"/>
    <mergeCell ref="B28:G29"/>
    <mergeCell ref="H8:H9"/>
    <mergeCell ref="A28:A29"/>
    <mergeCell ref="A1:O1"/>
    <mergeCell ref="M19:N19"/>
    <mergeCell ref="O28:O29"/>
    <mergeCell ref="J8:K8"/>
  </mergeCells>
  <pageMargins left="0.2362204724409449" right="0.2362204724409449" top="0.7480314960629921" bottom="0.7480314960629921" header="0.3149606299212598" footer="0.3149606299212598"/>
  <pageSetup orientation="landscape" paperSize="9"/>
  <headerFooter>
    <oddHeader>&amp;C&amp;G&amp;R&amp;"TH Sarabun New,ตัวหนา"แบบ ปร.1</oddHeader>
    <oddFooter>&amp;R&amp;"TH Sarabun New,ธรรมดา"หน้า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view="pageLayout" zoomScaleNormal="100" zoomScaleSheetLayoutView="100" workbookViewId="0">
      <selection activeCell="C16" sqref="C16"/>
    </sheetView>
  </sheetViews>
  <sheetFormatPr baseColWidth="8" defaultColWidth="8.140625" defaultRowHeight="24"/>
  <cols>
    <col width="6.5703125" customWidth="1" style="44" min="1" max="1"/>
    <col width="2.5703125" customWidth="1" style="44" min="2" max="2"/>
    <col width="10.7109375" customWidth="1" style="44" min="3" max="3"/>
    <col width="26.42578125" customWidth="1" style="44" min="4" max="4"/>
    <col width="2.28515625" customWidth="1" style="44" min="5" max="5"/>
    <col width="2.140625" customWidth="1" style="44" min="6" max="6"/>
    <col width="2" customWidth="1" style="44" min="7" max="7"/>
    <col width="16" customWidth="1" style="44" min="8" max="8"/>
    <col width="18" customWidth="1" style="44" min="9" max="9"/>
    <col width="17.28515625" customWidth="1" style="44" min="10" max="10"/>
    <col width="35.7109375" customWidth="1" style="44" min="11" max="11"/>
    <col width="10.7109375" customWidth="1" style="44" min="12" max="13"/>
    <col width="8.140625" customWidth="1" style="44" min="14" max="16384"/>
  </cols>
  <sheetData>
    <row r="1">
      <c r="A1" s="209" t="inlineStr">
        <is>
          <t>แบบสรุปประมาณราคาค่าก่อสร้าง</t>
        </is>
      </c>
    </row>
    <row r="2">
      <c r="A2" s="209" t="inlineStr">
        <is>
          <t>ค่างานต้นทุน</t>
        </is>
      </c>
    </row>
    <row r="3">
      <c r="A3" s="52" t="inlineStr">
        <is>
          <t>โครงการงานก่อสร้าง</t>
        </is>
      </c>
      <c r="B3" s="53" t="n"/>
      <c r="C3" s="54" t="n"/>
      <c r="D3" s="54">
        <f>'ปร.1'!D3</f>
        <v/>
      </c>
      <c r="E3" s="54" t="n"/>
      <c r="F3" s="54" t="n"/>
      <c r="G3" s="54" t="n"/>
      <c r="H3" s="274" t="n"/>
      <c r="I3" s="53" t="n"/>
      <c r="J3" s="274" t="inlineStr">
        <is>
          <t>แบบเลขที่</t>
        </is>
      </c>
      <c r="K3" s="274" t="n"/>
      <c r="L3" s="274" t="n"/>
      <c r="M3" s="54" t="n"/>
    </row>
    <row r="4">
      <c r="A4" s="56" t="inlineStr">
        <is>
          <t>สถานที่ก่อสร้าง</t>
        </is>
      </c>
      <c r="B4" s="57" t="n"/>
      <c r="C4" s="58" t="n"/>
      <c r="D4" s="58">
        <f>'ปร.1'!D4</f>
        <v/>
      </c>
      <c r="E4" s="58" t="n"/>
      <c r="F4" s="58" t="n"/>
      <c r="G4" s="58" t="n"/>
      <c r="H4" s="275" t="n"/>
      <c r="I4" s="57" t="n"/>
      <c r="J4" s="56">
        <f>"แบบ ปร.1 ที่แนบ จำนวน   "&amp;'ปร.1'!O6 &amp; "   หน้า"</f>
        <v/>
      </c>
      <c r="K4" s="58" t="n"/>
      <c r="L4" s="72" t="n"/>
      <c r="M4" s="58" t="n"/>
    </row>
    <row r="5">
      <c r="A5" s="56" t="inlineStr">
        <is>
          <t>หน่วยงานเจ้าของโครงการ</t>
        </is>
      </c>
      <c r="B5" s="57" t="n"/>
      <c r="C5" s="58" t="n"/>
      <c r="D5" s="58">
        <f>'ปร.1'!D5</f>
        <v/>
      </c>
      <c r="E5" s="58" t="n"/>
      <c r="F5" s="58" t="n"/>
      <c r="G5" s="58" t="n"/>
      <c r="H5" s="275" t="n"/>
      <c r="I5" s="57" t="n"/>
      <c r="J5" s="275" t="n"/>
      <c r="K5" s="275" t="n"/>
      <c r="L5" s="275" t="n"/>
      <c r="M5" s="58" t="n"/>
    </row>
    <row r="6">
      <c r="A6" s="56" t="inlineStr">
        <is>
          <t>ประมาณราคาเมื่อวันที่</t>
        </is>
      </c>
      <c r="B6" s="57" t="n"/>
      <c r="C6" s="58" t="n"/>
      <c r="D6" s="276">
        <f>'ปร.1'!D6</f>
        <v/>
      </c>
      <c r="E6" s="58" t="n"/>
      <c r="F6" s="58" t="n"/>
      <c r="G6" s="58" t="n"/>
      <c r="H6" s="275" t="n"/>
      <c r="I6" s="57" t="n"/>
      <c r="J6" s="275" t="n"/>
      <c r="K6" s="275" t="n"/>
      <c r="L6" s="275" t="n"/>
      <c r="M6" s="58" t="n"/>
    </row>
    <row r="7" ht="24.75" customHeight="1" thickBot="1">
      <c r="A7" s="4" t="n"/>
      <c r="B7" s="4" t="n"/>
      <c r="C7" s="3" t="n"/>
      <c r="D7" s="3" t="n"/>
      <c r="E7" s="3" t="n"/>
      <c r="F7" s="3" t="n"/>
      <c r="G7" s="3" t="n"/>
      <c r="H7" s="273" t="n"/>
      <c r="I7" s="4" t="n"/>
      <c r="J7" s="273" t="n"/>
      <c r="K7" s="273" t="n"/>
      <c r="L7" s="273" t="n"/>
      <c r="M7" s="4" t="inlineStr">
        <is>
          <t>หน่วย : บาท</t>
        </is>
      </c>
    </row>
    <row r="8" ht="24.75" customHeight="1" thickTop="1">
      <c r="A8" s="226" t="inlineStr">
        <is>
          <t>ลำดับที่</t>
        </is>
      </c>
      <c r="B8" s="226" t="inlineStr">
        <is>
          <t>รายการ</t>
        </is>
      </c>
      <c r="C8" s="299" t="n"/>
      <c r="D8" s="299" t="n"/>
      <c r="E8" s="299" t="n"/>
      <c r="F8" s="299" t="n"/>
      <c r="G8" s="300" t="n"/>
      <c r="H8" s="301" t="inlineStr">
        <is>
          <t>ค่างานต้นทุน</t>
        </is>
      </c>
      <c r="I8" s="300" t="n"/>
      <c r="J8" s="302" t="inlineStr">
        <is>
          <t>Factor F</t>
        </is>
      </c>
      <c r="K8" s="301" t="inlineStr">
        <is>
          <t>ค่าก่อสร้าง</t>
        </is>
      </c>
      <c r="L8" s="303" t="inlineStr">
        <is>
          <t>หมายเหตุ</t>
        </is>
      </c>
      <c r="M8" s="300" t="n"/>
    </row>
    <row r="9">
      <c r="A9" s="282" t="n"/>
      <c r="B9" s="283" t="n"/>
      <c r="C9" s="284" t="n"/>
      <c r="D9" s="284" t="n"/>
      <c r="E9" s="284" t="n"/>
      <c r="F9" s="284" t="n"/>
      <c r="G9" s="285" t="n"/>
      <c r="H9" s="283" t="n"/>
      <c r="I9" s="285" t="n"/>
      <c r="J9" s="285" t="n"/>
      <c r="K9" s="282" t="n"/>
      <c r="L9" s="283" t="n"/>
      <c r="M9" s="285" t="n"/>
    </row>
    <row r="10">
      <c r="A10" s="155" t="n"/>
      <c r="B10" s="156" t="n"/>
      <c r="C10" s="157" t="n"/>
      <c r="D10" s="157" t="n"/>
      <c r="E10" s="157" t="n"/>
      <c r="F10" s="157" t="n"/>
      <c r="G10" s="158" t="n"/>
      <c r="H10" s="304" t="n"/>
      <c r="I10" s="278" t="n"/>
      <c r="J10" s="305" t="n"/>
      <c r="K10" s="306" t="n"/>
      <c r="L10" s="307" t="n"/>
      <c r="M10" s="13" t="n"/>
    </row>
    <row r="11">
      <c r="A11" s="6" t="n"/>
      <c r="B11" s="21" t="n"/>
      <c r="C11" s="3" t="n"/>
      <c r="D11" s="3" t="n"/>
      <c r="E11" s="3" t="n"/>
      <c r="F11" s="3" t="n"/>
      <c r="G11" s="9" t="n"/>
      <c r="H11" s="308" t="n"/>
      <c r="I11" s="309" t="n"/>
      <c r="J11" s="309" t="n"/>
      <c r="K11" s="309" t="n"/>
      <c r="L11" s="310" t="n"/>
      <c r="M11" s="9" t="n"/>
    </row>
    <row r="12">
      <c r="A12" s="6" t="n"/>
      <c r="B12" s="21" t="n"/>
      <c r="C12" s="22" t="inlineStr">
        <is>
          <t>เงื่อนไขการใช้ตาราง Factor F</t>
        </is>
      </c>
      <c r="D12" s="3" t="n"/>
      <c r="E12" s="3" t="n"/>
      <c r="F12" s="3" t="n"/>
      <c r="G12" s="9" t="n"/>
      <c r="H12" s="308" t="n"/>
      <c r="I12" s="309" t="n"/>
      <c r="J12" s="309" t="n"/>
      <c r="K12" s="309" t="n"/>
      <c r="L12" s="310" t="n"/>
      <c r="M12" s="9" t="n"/>
    </row>
    <row r="13">
      <c r="A13" s="6" t="n"/>
      <c r="B13" s="21" t="n"/>
      <c r="C13" s="3" t="n"/>
      <c r="D13" s="3" t="n"/>
      <c r="E13" s="43" t="n"/>
      <c r="F13" s="3" t="n"/>
      <c r="G13" s="9" t="n"/>
      <c r="H13" s="308" t="n"/>
      <c r="I13" s="309" t="n"/>
      <c r="J13" s="309" t="n"/>
      <c r="K13" s="309" t="n"/>
      <c r="L13" s="310" t="n"/>
      <c r="M13" s="9" t="n"/>
    </row>
    <row r="14">
      <c r="A14" s="6" t="n"/>
      <c r="B14" s="21" t="n"/>
      <c r="C14" s="3" t="n"/>
      <c r="D14" s="3" t="n"/>
      <c r="E14" s="3" t="n"/>
      <c r="F14" s="3" t="n"/>
      <c r="G14" s="9" t="n"/>
      <c r="H14" s="308" t="n"/>
      <c r="I14" s="309" t="n"/>
      <c r="J14" s="309" t="n"/>
      <c r="K14" s="309" t="n"/>
      <c r="L14" s="310" t="n"/>
      <c r="M14" s="9" t="n"/>
    </row>
    <row r="15">
      <c r="A15" s="6" t="n"/>
      <c r="B15" s="21" t="n"/>
      <c r="C15" s="3" t="n"/>
      <c r="D15" s="3" t="n"/>
      <c r="E15" s="3" t="n"/>
      <c r="F15" s="3" t="n"/>
      <c r="G15" s="9" t="n"/>
      <c r="H15" s="308" t="n"/>
      <c r="I15" s="309" t="n"/>
      <c r="J15" s="309" t="n"/>
      <c r="K15" s="309" t="n"/>
      <c r="L15" s="310" t="n"/>
      <c r="M15" s="9" t="n"/>
    </row>
    <row r="16" ht="24.75" customHeight="1" thickBot="1">
      <c r="A16" s="247" t="n"/>
      <c r="B16" s="33" t="n"/>
      <c r="C16" s="34" t="n"/>
      <c r="D16" s="34" t="n"/>
      <c r="E16" s="34" t="n"/>
      <c r="F16" s="34" t="n"/>
      <c r="G16" s="35" t="n"/>
      <c r="H16" s="311" t="n"/>
      <c r="I16" s="38" t="n"/>
      <c r="J16" s="312" t="n"/>
      <c r="K16" s="312" t="n"/>
      <c r="L16" s="311" t="n"/>
      <c r="M16" s="35" t="n"/>
    </row>
    <row r="17" ht="25.5" customHeight="1" thickBot="1" thickTop="1">
      <c r="J17" s="153" t="inlineStr">
        <is>
          <t>รวมค่าก่อสร้าง</t>
        </is>
      </c>
      <c r="K17" s="313" t="n"/>
    </row>
    <row r="18" ht="24.75" customHeight="1" thickTop="1">
      <c r="B18" s="161" t="n"/>
      <c r="C18" s="161" t="n"/>
      <c r="D18" s="162" t="n"/>
      <c r="E18" s="162" t="n"/>
      <c r="F18" s="162" t="n"/>
      <c r="G18" s="153" t="inlineStr">
        <is>
          <t>หมายเหตุ : แสดงรายการปริมาณ และราคารวม</t>
        </is>
      </c>
      <c r="H18" s="314" t="n"/>
      <c r="I18" s="163" t="inlineStr">
        <is>
          <t>บาท ต่อ 1 หน่วย</t>
        </is>
      </c>
      <c r="J18" s="161" t="n"/>
      <c r="K18" s="161" t="n"/>
      <c r="L18" s="161" t="n"/>
    </row>
    <row r="19">
      <c r="B19" s="161" t="n"/>
      <c r="C19" s="161" t="n"/>
      <c r="D19" s="161" t="n"/>
      <c r="E19" s="161" t="n"/>
      <c r="F19" s="161" t="n"/>
      <c r="G19" s="161" t="n"/>
      <c r="H19" s="161" t="n"/>
      <c r="I19" s="161" t="n"/>
      <c r="J19" s="161" t="n"/>
      <c r="K19" s="315" t="n"/>
      <c r="L19" s="161" t="n"/>
    </row>
    <row r="20"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316" t="n"/>
      <c r="L20" s="161" t="n"/>
    </row>
    <row r="21">
      <c r="B21" s="161" t="n"/>
      <c r="C21" s="161" t="n"/>
      <c r="D21" s="161" t="n"/>
      <c r="E21" s="161" t="n"/>
      <c r="F21" s="161" t="n"/>
      <c r="G21" s="161" t="n"/>
      <c r="H21" s="161" t="n"/>
      <c r="I21" s="161" t="n"/>
      <c r="J21" s="161" t="n"/>
      <c r="K21" s="317" t="n"/>
      <c r="L21" s="161" t="n"/>
    </row>
    <row r="22">
      <c r="B22" s="161" t="n"/>
      <c r="C22" s="161" t="n"/>
      <c r="D22" s="161" t="n"/>
      <c r="E22" s="161" t="n"/>
      <c r="F22" s="161" t="n"/>
      <c r="G22" s="161" t="n"/>
      <c r="H22" s="161" t="n"/>
      <c r="I22" s="161" t="n"/>
      <c r="J22" s="161" t="n"/>
      <c r="K22" s="167" t="inlineStr">
        <is>
          <t>ผู้ประมาณราคา</t>
        </is>
      </c>
      <c r="L22" s="161" t="n"/>
    </row>
    <row r="23"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  <c r="K23" s="161" t="n"/>
      <c r="L23" s="161" t="n"/>
    </row>
  </sheetData>
  <mergeCells count="9">
    <mergeCell ref="B8:G9"/>
    <mergeCell ref="A8:A9"/>
    <mergeCell ref="A1:M1"/>
    <mergeCell ref="K8:K9"/>
    <mergeCell ref="H10:I10"/>
    <mergeCell ref="J8:J9"/>
    <mergeCell ref="H8:I9"/>
    <mergeCell ref="A2:M2"/>
    <mergeCell ref="L8:M9"/>
  </mergeCells>
  <pageMargins left="0.25" right="0.25" top="0.75" bottom="0.75" header="0.3" footer="0.3"/>
  <pageSetup orientation="landscape" paperSize="9" scale="94" fitToHeight="0"/>
  <headerFooter>
    <oddHeader>&amp;C&amp;G&amp;R&amp;"TH Sarabun New,ตัวหนา"แบบ ปร.1 (ก)</oddHeader>
    <oddFooter>&amp;R&amp;"TH Sarabun New,ธรรมดา"หน้า &amp;P จาก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showGridLines="0" view="pageLayout" zoomScaleNormal="100" zoomScaleSheetLayoutView="100" workbookViewId="0">
      <selection activeCell="C4" sqref="C4"/>
    </sheetView>
  </sheetViews>
  <sheetFormatPr baseColWidth="8" defaultColWidth="9" defaultRowHeight="19.5"/>
  <cols>
    <col width="6.5703125" customWidth="1" style="46" min="1" max="1"/>
    <col width="2.5703125" customWidth="1" style="46" min="2" max="2"/>
    <col width="10.7109375" customWidth="1" style="46" min="3" max="3"/>
    <col width="28.85546875" customWidth="1" style="46" min="4" max="4"/>
    <col width="2.28515625" customWidth="1" style="46" min="5" max="5"/>
    <col width="2.140625" customWidth="1" style="46" min="6" max="6"/>
    <col width="2" customWidth="1" style="46" min="7" max="7"/>
    <col width="10" bestFit="1" customWidth="1" style="46" min="8" max="8"/>
    <col width="9.85546875" customWidth="1" style="46" min="9" max="9"/>
    <col width="13.28515625" customWidth="1" style="46" min="10" max="10"/>
    <col width="18.7109375" customWidth="1" style="46" min="11" max="13"/>
    <col width="11" customWidth="1" style="46" min="14" max="14"/>
    <col width="9" customWidth="1" style="46" min="15" max="16384"/>
  </cols>
  <sheetData>
    <row r="1" ht="24" customHeight="1">
      <c r="A1" s="209" t="inlineStr">
        <is>
          <t>แบบแสดงรายการ ปริมาณงาน และราคา</t>
        </is>
      </c>
    </row>
    <row r="2" ht="24" customHeight="1">
      <c r="A2" s="209" t="inlineStr">
        <is>
          <t>ค่าครุภัณฑ์จัดซื้อ</t>
        </is>
      </c>
    </row>
    <row r="3" ht="21.75" customHeight="1">
      <c r="A3" s="52" t="inlineStr">
        <is>
          <t>โครงการงานก่อสร้าง</t>
        </is>
      </c>
      <c r="B3" s="53" t="n"/>
      <c r="C3" s="54" t="n"/>
      <c r="D3" s="54">
        <f>'ปร.1'!D3</f>
        <v/>
      </c>
      <c r="E3" s="54" t="n"/>
      <c r="F3" s="54" t="n"/>
      <c r="G3" s="54" t="n"/>
      <c r="H3" s="274" t="n"/>
      <c r="I3" s="53" t="n"/>
      <c r="J3" s="274" t="n"/>
      <c r="K3" s="274" t="inlineStr">
        <is>
          <t>แบบเลขที่</t>
        </is>
      </c>
      <c r="L3" s="274" t="n"/>
      <c r="M3" s="274" t="n"/>
      <c r="N3" s="54" t="n"/>
    </row>
    <row r="4" ht="21.75" customHeight="1">
      <c r="A4" s="56" t="inlineStr">
        <is>
          <t>สถานที่ก่อสร้าง</t>
        </is>
      </c>
      <c r="B4" s="57" t="n"/>
      <c r="C4" s="58" t="n"/>
      <c r="D4" s="58">
        <f>'ปร.1'!D4</f>
        <v/>
      </c>
      <c r="E4" s="58" t="n"/>
      <c r="F4" s="58" t="n"/>
      <c r="G4" s="58" t="n"/>
      <c r="H4" s="275" t="n"/>
      <c r="I4" s="57" t="n"/>
      <c r="J4" s="275" t="n"/>
      <c r="K4" s="275" t="n"/>
      <c r="L4" s="275" t="n"/>
      <c r="M4" s="275" t="n"/>
      <c r="N4" s="58" t="n"/>
    </row>
    <row r="5" ht="21.75" customHeight="1">
      <c r="A5" s="56" t="inlineStr">
        <is>
          <t>หน่วยงานเจ้าของโครงการ</t>
        </is>
      </c>
      <c r="B5" s="57" t="n"/>
      <c r="C5" s="58" t="n"/>
      <c r="D5" s="58">
        <f>'ปร.1'!D5</f>
        <v/>
      </c>
      <c r="E5" s="58" t="n"/>
      <c r="F5" s="58" t="n"/>
      <c r="G5" s="58" t="n"/>
      <c r="H5" s="275" t="n"/>
      <c r="I5" s="57" t="n"/>
      <c r="J5" s="275" t="n"/>
      <c r="K5" s="275" t="n"/>
      <c r="L5" s="275" t="n"/>
      <c r="M5" s="275" t="n"/>
      <c r="N5" s="58" t="n"/>
    </row>
    <row r="6" ht="21.75" customHeight="1">
      <c r="A6" s="56" t="inlineStr">
        <is>
          <t>ประมาณราคาเมื่อวันที่</t>
        </is>
      </c>
      <c r="B6" s="57" t="n"/>
      <c r="C6" s="58" t="n"/>
      <c r="D6" s="276">
        <f>'ปร.1'!D6</f>
        <v/>
      </c>
      <c r="E6" s="58" t="n"/>
      <c r="F6" s="58" t="n"/>
      <c r="G6" s="58" t="n"/>
      <c r="H6" s="275" t="n"/>
      <c r="I6" s="57" t="n"/>
      <c r="J6" s="275" t="n"/>
      <c r="K6" s="275" t="n"/>
      <c r="L6" s="275" t="n"/>
      <c r="M6" s="275" t="n"/>
      <c r="N6" s="61" t="n"/>
    </row>
    <row r="7" ht="21.75" customHeight="1">
      <c r="A7" s="1" t="n"/>
      <c r="B7" s="1" t="n"/>
      <c r="C7" s="2" t="n"/>
      <c r="D7" s="2" t="n"/>
      <c r="E7" s="2" t="n"/>
      <c r="F7" s="2" t="n"/>
      <c r="G7" s="2" t="n"/>
      <c r="H7" s="315" t="n"/>
      <c r="I7" s="1" t="n"/>
      <c r="J7" s="315" t="n"/>
      <c r="K7" s="315" t="n"/>
      <c r="L7" s="315" t="n"/>
      <c r="M7" s="315" t="n"/>
      <c r="N7" s="1" t="inlineStr">
        <is>
          <t>หน่วย : บาท</t>
        </is>
      </c>
    </row>
    <row r="8">
      <c r="A8" s="210" t="inlineStr">
        <is>
          <t>ลำดับที่</t>
        </is>
      </c>
      <c r="B8" s="210" t="inlineStr">
        <is>
          <t>รายการ</t>
        </is>
      </c>
      <c r="C8" s="277" t="n"/>
      <c r="D8" s="277" t="n"/>
      <c r="E8" s="277" t="n"/>
      <c r="F8" s="277" t="n"/>
      <c r="G8" s="278" t="n"/>
      <c r="H8" s="279" t="inlineStr">
        <is>
          <t>จำนวน</t>
        </is>
      </c>
      <c r="I8" s="210" t="inlineStr">
        <is>
          <t>หน่วย</t>
        </is>
      </c>
      <c r="J8" s="279" t="inlineStr">
        <is>
          <t>ค่าครุภัณฑ์</t>
        </is>
      </c>
      <c r="K8" s="280" t="n"/>
      <c r="L8" s="318" t="inlineStr">
        <is>
          <t>รวมค่าครุภัณฑ์</t>
        </is>
      </c>
      <c r="M8" s="281" t="inlineStr">
        <is>
          <t>ค่าติดตั้ง</t>
        </is>
      </c>
      <c r="N8" s="210" t="inlineStr">
        <is>
          <t>หมายเหตุ</t>
        </is>
      </c>
    </row>
    <row r="9">
      <c r="A9" s="282" t="n"/>
      <c r="B9" s="283" t="n"/>
      <c r="C9" s="284" t="n"/>
      <c r="D9" s="284" t="n"/>
      <c r="E9" s="284" t="n"/>
      <c r="F9" s="284" t="n"/>
      <c r="G9" s="285" t="n"/>
      <c r="H9" s="282" t="n"/>
      <c r="I9" s="282" t="n"/>
      <c r="J9" s="279" t="inlineStr">
        <is>
          <t>ราคาต่อหน่วย</t>
        </is>
      </c>
      <c r="K9" s="279" t="inlineStr">
        <is>
          <t>จำนวนเงิน</t>
        </is>
      </c>
      <c r="L9" s="283" t="n"/>
      <c r="M9" s="282" t="n"/>
      <c r="N9" s="282" t="n"/>
    </row>
    <row r="10">
      <c r="A10" s="250" t="n"/>
      <c r="B10" s="31" t="n"/>
      <c r="C10" s="12" t="n"/>
      <c r="D10" s="12" t="n"/>
      <c r="E10" s="12" t="n"/>
      <c r="F10" s="12" t="n"/>
      <c r="G10" s="13" t="n"/>
      <c r="H10" s="286" t="n"/>
      <c r="I10" s="213" t="n"/>
      <c r="J10" s="286" t="n"/>
      <c r="K10" s="286" t="n"/>
      <c r="L10" s="286" t="n"/>
      <c r="M10" s="286" t="n"/>
      <c r="N10" s="11" t="n"/>
    </row>
    <row r="11">
      <c r="A11" s="6" t="n"/>
      <c r="B11" s="18" t="n"/>
      <c r="C11" s="3" t="n"/>
      <c r="D11" s="3" t="n"/>
      <c r="E11" s="3" t="n"/>
      <c r="F11" s="3" t="n"/>
      <c r="G11" s="9" t="n"/>
      <c r="H11" s="287" t="n"/>
      <c r="I11" s="6" t="n"/>
      <c r="J11" s="287" t="n"/>
      <c r="K11" s="287" t="n"/>
      <c r="L11" s="287" t="n"/>
      <c r="M11" s="287" t="n"/>
      <c r="N11" s="7" t="n"/>
    </row>
    <row r="12">
      <c r="A12" s="6" t="n"/>
      <c r="B12" s="21" t="inlineStr">
        <is>
          <t>รวมค่างานครุภัณฑ์ติดตั้ง</t>
        </is>
      </c>
      <c r="C12" s="3" t="n"/>
      <c r="D12" s="3" t="n"/>
      <c r="E12" s="3" t="n"/>
      <c r="F12" s="3" t="n"/>
      <c r="G12" s="9" t="n"/>
      <c r="H12" s="287" t="n"/>
      <c r="I12" s="6" t="n"/>
      <c r="J12" s="287" t="n"/>
      <c r="K12" s="287" t="n"/>
      <c r="L12" s="287" t="n"/>
      <c r="M12" s="287" t="n"/>
      <c r="N12" s="7" t="n"/>
    </row>
    <row r="13">
      <c r="A13" s="19" t="n"/>
      <c r="B13" s="29" t="inlineStr">
        <is>
          <t>รวมค่าครุภัณฑ์และค่าติดตั้ง</t>
        </is>
      </c>
      <c r="C13" s="15" t="n"/>
      <c r="D13" s="15" t="n"/>
      <c r="E13" s="15" t="n"/>
      <c r="F13" s="15" t="n"/>
      <c r="G13" s="15" t="n"/>
      <c r="H13" s="289" t="n"/>
      <c r="I13" s="16" t="n"/>
      <c r="J13" s="289" t="n"/>
      <c r="K13" s="319" t="n"/>
      <c r="L13" s="320" t="n"/>
      <c r="M13" s="320" t="n"/>
      <c r="N13" s="10" t="n"/>
    </row>
    <row r="14">
      <c r="A14" s="17" t="n"/>
      <c r="B14" s="49" t="n"/>
      <c r="C14" s="12" t="n"/>
      <c r="D14" s="12" t="n"/>
      <c r="E14" s="12" t="n"/>
      <c r="F14" s="12" t="n"/>
      <c r="G14" s="12" t="n"/>
      <c r="H14" s="291" t="n"/>
      <c r="I14" s="17" t="n"/>
      <c r="J14" s="291" t="n"/>
      <c r="K14" s="291" t="n"/>
      <c r="L14" s="291" t="n"/>
      <c r="M14" s="291" t="n"/>
      <c r="N14" s="12" t="n"/>
    </row>
    <row r="15">
      <c r="A15" s="4" t="n"/>
      <c r="B15" s="50" t="n"/>
      <c r="C15" s="3" t="n"/>
      <c r="D15" s="3" t="n"/>
      <c r="E15" s="3" t="n"/>
      <c r="F15" s="3" t="n"/>
      <c r="G15" s="3" t="n"/>
      <c r="H15" s="273" t="n"/>
      <c r="I15" s="4" t="n"/>
      <c r="J15" s="273" t="n"/>
      <c r="K15" s="273" t="n"/>
      <c r="L15" s="273" t="n"/>
      <c r="M15" s="273" t="n"/>
      <c r="N15" s="3" t="n"/>
    </row>
    <row r="16">
      <c r="A16" s="4" t="n"/>
      <c r="B16" s="50" t="n"/>
      <c r="C16" s="3" t="n"/>
      <c r="D16" s="3" t="n"/>
      <c r="E16" s="3" t="n"/>
      <c r="F16" s="3" t="n"/>
      <c r="G16" s="3" t="n"/>
      <c r="H16" s="273" t="n"/>
      <c r="I16" s="4" t="n"/>
      <c r="J16" s="273" t="n"/>
      <c r="K16" s="273" t="n"/>
      <c r="L16" s="273" t="n"/>
      <c r="M16" s="273" t="n"/>
      <c r="N16" s="3" t="n"/>
    </row>
    <row r="17">
      <c r="A17" s="4" t="n"/>
      <c r="B17" s="50" t="n"/>
      <c r="C17" s="3" t="n"/>
      <c r="D17" s="3" t="n"/>
      <c r="E17" s="3" t="n"/>
      <c r="F17" s="3" t="n"/>
      <c r="G17" s="3" t="n"/>
      <c r="H17" s="273" t="n"/>
      <c r="I17" s="4" t="n"/>
      <c r="J17" s="273" t="n"/>
      <c r="K17" s="273" t="n"/>
      <c r="L17" s="273" t="n"/>
      <c r="M17" s="273" t="n"/>
      <c r="N17" s="3" t="n"/>
    </row>
    <row r="18">
      <c r="A18" s="4" t="n"/>
      <c r="B18" s="50" t="n"/>
      <c r="C18" s="3" t="n"/>
      <c r="D18" s="3" t="n"/>
      <c r="E18" s="3" t="n"/>
      <c r="F18" s="3" t="n"/>
      <c r="G18" s="3" t="n"/>
      <c r="H18" s="273" t="n"/>
      <c r="I18" s="4" t="n"/>
      <c r="J18" s="273" t="n"/>
      <c r="K18" s="273" t="n"/>
      <c r="L18" s="273" t="n"/>
      <c r="M18" s="273" t="n"/>
      <c r="N18" s="3" t="n"/>
    </row>
  </sheetData>
  <mergeCells count="10">
    <mergeCell ref="B8:G9"/>
    <mergeCell ref="A8:A9"/>
    <mergeCell ref="H8:H9"/>
    <mergeCell ref="I8:I9"/>
    <mergeCell ref="L8:L9"/>
    <mergeCell ref="A2:N2"/>
    <mergeCell ref="N8:N9"/>
    <mergeCell ref="M8:M9"/>
    <mergeCell ref="J8:K8"/>
    <mergeCell ref="A1:N1"/>
  </mergeCells>
  <pageMargins left="0.25" right="0.25" top="0.75" bottom="0.75" header="0.3" footer="0.3"/>
  <pageSetup orientation="landscape" paperSize="9" scale="98" fitToHeight="0"/>
  <headerFooter>
    <oddHeader>&amp;C&amp;G&amp;R&amp;"TH Sarabun New,ตัวหนา"แบบ ปร.2</oddHeader>
    <oddFooter>&amp;R&amp;"TH Sarabun New,ธรรมดา"หน้า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view="pageLayout" zoomScaleNormal="100" zoomScaleSheetLayoutView="115" workbookViewId="0">
      <selection activeCell="J10" sqref="J10"/>
    </sheetView>
  </sheetViews>
  <sheetFormatPr baseColWidth="8" defaultColWidth="9" defaultRowHeight="19.5"/>
  <cols>
    <col width="6.5703125" customWidth="1" style="46" min="1" max="1"/>
    <col width="2.5703125" customWidth="1" style="46" min="2" max="2"/>
    <col width="10.7109375" customWidth="1" style="46" min="3" max="3"/>
    <col width="25.5703125" customWidth="1" style="46" min="4" max="4"/>
    <col width="2" customWidth="1" style="46" min="5" max="5"/>
    <col width="18.7109375" customWidth="1" style="46" min="6" max="10"/>
    <col width="11" customWidth="1" style="46" min="11" max="11"/>
    <col width="9" customWidth="1" style="46" min="12" max="16384"/>
  </cols>
  <sheetData>
    <row r="1" ht="24" customHeight="1">
      <c r="A1" s="209" t="inlineStr">
        <is>
          <t>แบบสรุปค่าครุภัณฑ์จัดซื้อ</t>
        </is>
      </c>
    </row>
    <row r="2" ht="24" customHeight="1">
      <c r="A2" s="209" t="inlineStr">
        <is>
          <t>ค่าครุภัณฑ์จัดซื้อ</t>
        </is>
      </c>
    </row>
    <row r="3" ht="21.75" customHeight="1">
      <c r="A3" s="52" t="inlineStr">
        <is>
          <t>โครงการงานก่อสร้าง</t>
        </is>
      </c>
      <c r="B3" s="53" t="n"/>
      <c r="C3" s="54" t="n"/>
      <c r="D3" s="54">
        <f>'ปร.1'!D3</f>
        <v/>
      </c>
      <c r="E3" s="54" t="n"/>
      <c r="F3" s="274" t="n"/>
      <c r="G3" s="274" t="n"/>
      <c r="H3" s="274" t="inlineStr">
        <is>
          <t>แบบเลขที่</t>
        </is>
      </c>
      <c r="I3" s="274" t="n"/>
      <c r="J3" s="274" t="n"/>
      <c r="K3" s="54" t="n"/>
    </row>
    <row r="4" ht="21.75" customHeight="1">
      <c r="A4" s="56" t="inlineStr">
        <is>
          <t>สถานที่ก่อสร้าง</t>
        </is>
      </c>
      <c r="B4" s="57" t="n"/>
      <c r="C4" s="58" t="n"/>
      <c r="D4" s="58">
        <f>'ปร.1'!D4</f>
        <v/>
      </c>
      <c r="E4" s="58" t="n"/>
      <c r="F4" s="275" t="n"/>
      <c r="G4" s="275" t="n"/>
      <c r="H4" s="275" t="inlineStr">
        <is>
          <t>แบบ ปร.2 ที่แนบ</t>
        </is>
      </c>
      <c r="I4" s="275" t="n"/>
      <c r="J4" s="275" t="n"/>
      <c r="K4" s="58" t="n"/>
    </row>
    <row r="5" ht="21.75" customHeight="1">
      <c r="A5" s="56" t="inlineStr">
        <is>
          <t>หน่วยงานเจ้าของโครงการ</t>
        </is>
      </c>
      <c r="B5" s="57" t="n"/>
      <c r="C5" s="58" t="n"/>
      <c r="D5" s="58">
        <f>'ปร.1'!D5</f>
        <v/>
      </c>
      <c r="E5" s="58" t="n"/>
      <c r="F5" s="275" t="n"/>
      <c r="G5" s="275" t="n"/>
      <c r="H5" s="275" t="n"/>
      <c r="I5" s="275" t="n"/>
      <c r="J5" s="275" t="n"/>
      <c r="K5" s="58" t="n"/>
    </row>
    <row r="6" ht="21.75" customHeight="1">
      <c r="A6" s="56" t="inlineStr">
        <is>
          <t>ประมาณราคาเมื่อวันที่</t>
        </is>
      </c>
      <c r="B6" s="57" t="n"/>
      <c r="C6" s="58" t="n"/>
      <c r="D6" s="276">
        <f>'ปร.1'!D6</f>
        <v/>
      </c>
      <c r="E6" s="58" t="n"/>
      <c r="F6" s="275" t="n"/>
      <c r="G6" s="275" t="n"/>
      <c r="H6" s="275" t="n"/>
      <c r="I6" s="275" t="n"/>
      <c r="J6" s="275" t="n"/>
      <c r="K6" s="61" t="n"/>
    </row>
    <row r="7" ht="22.5" customHeight="1" thickBot="1">
      <c r="A7" s="1" t="n"/>
      <c r="B7" s="1" t="n"/>
      <c r="C7" s="2" t="n"/>
      <c r="D7" s="2" t="n"/>
      <c r="E7" s="2" t="n"/>
      <c r="F7" s="315" t="n"/>
      <c r="G7" s="315" t="n"/>
      <c r="H7" s="315" t="n"/>
      <c r="I7" s="315" t="n"/>
      <c r="J7" s="315" t="n"/>
      <c r="K7" s="1" t="inlineStr">
        <is>
          <t>หน่วย : บาท</t>
        </is>
      </c>
    </row>
    <row r="8" ht="24" customHeight="1" thickTop="1">
      <c r="A8" s="236" t="inlineStr">
        <is>
          <t>ลำดับที่</t>
        </is>
      </c>
      <c r="B8" s="236" t="inlineStr">
        <is>
          <t>รายการ</t>
        </is>
      </c>
      <c r="C8" s="299" t="n"/>
      <c r="D8" s="299" t="n"/>
      <c r="E8" s="300" t="n"/>
      <c r="F8" s="321" t="inlineStr">
        <is>
          <t>ค่าครุภัณฑ์</t>
        </is>
      </c>
      <c r="G8" s="322" t="inlineStr">
        <is>
          <t>ค่าภาษีมูลค่าเพิ่ม</t>
        </is>
      </c>
      <c r="H8" s="322" t="inlineStr">
        <is>
          <t>ค่าติดตั้ง</t>
        </is>
      </c>
      <c r="I8" s="323" t="inlineStr">
        <is>
          <t>ค่าภาษีมูลค่าเพิ่ม</t>
        </is>
      </c>
      <c r="J8" s="324" t="inlineStr">
        <is>
          <t>รวมค่าครุภัณฑ์จัดซื้อ</t>
        </is>
      </c>
      <c r="K8" s="325" t="inlineStr">
        <is>
          <t>หมายเหตุ</t>
        </is>
      </c>
    </row>
    <row r="9" ht="24" customHeight="1" thickBot="1">
      <c r="A9" s="282" t="n"/>
      <c r="B9" s="283" t="n"/>
      <c r="C9" s="284" t="n"/>
      <c r="D9" s="284" t="n"/>
      <c r="E9" s="285" t="n"/>
      <c r="F9" s="282" t="n"/>
      <c r="G9" s="326" t="n"/>
      <c r="H9" s="326" t="n"/>
      <c r="I9" s="327" t="n"/>
      <c r="J9" s="282" t="n"/>
      <c r="K9" s="326" t="n"/>
    </row>
    <row r="10" ht="21" customHeight="1" thickBot="1" thickTop="1">
      <c r="A10" s="62" t="n">
        <v>1</v>
      </c>
      <c r="B10" s="63" t="inlineStr">
        <is>
          <t>งานครุภัณฑ์ติดตั้ง</t>
        </is>
      </c>
      <c r="C10" s="64" t="n"/>
      <c r="D10" s="64" t="n"/>
      <c r="E10" s="65" t="n"/>
      <c r="F10" s="328">
        <f>'ปร.2'!L13</f>
        <v/>
      </c>
      <c r="G10" s="328">
        <f>F10*0.07</f>
        <v/>
      </c>
      <c r="H10" s="328">
        <f>'ปร.2'!M13</f>
        <v/>
      </c>
      <c r="I10" s="328">
        <f>H10*0.07</f>
        <v/>
      </c>
      <c r="J10" s="328">
        <f>F10+G10+H10+I10</f>
        <v/>
      </c>
      <c r="K10" s="67" t="n"/>
    </row>
    <row r="11" ht="21" customHeight="1" thickBot="1" thickTop="1">
      <c r="A11" s="68" t="n"/>
      <c r="B11" s="69" t="n"/>
      <c r="C11" s="64" t="n"/>
      <c r="D11" s="64" t="n"/>
      <c r="E11" s="70" t="inlineStr">
        <is>
          <t>รวมค่าครุภัณฑ์จัดซื้อ</t>
        </is>
      </c>
      <c r="F11" s="328">
        <f>F10</f>
        <v/>
      </c>
      <c r="G11" s="328">
        <f>G10</f>
        <v/>
      </c>
      <c r="H11" s="328">
        <f>H10</f>
        <v/>
      </c>
      <c r="I11" s="328">
        <f>I10</f>
        <v/>
      </c>
      <c r="J11" s="328">
        <f>J10</f>
        <v/>
      </c>
      <c r="K11" s="67" t="n"/>
    </row>
    <row r="12" ht="20.25" customHeight="1" thickTop="1"/>
    <row r="13"/>
    <row r="14">
      <c r="I14" s="73" t="n"/>
      <c r="J14" s="73" t="n"/>
    </row>
    <row r="15">
      <c r="I15" s="329" t="n"/>
      <c r="J15" s="330" t="n"/>
    </row>
    <row r="16">
      <c r="I16" s="235" t="inlineStr">
        <is>
          <t>ผู้ประมาณราคา</t>
        </is>
      </c>
    </row>
  </sheetData>
  <mergeCells count="12">
    <mergeCell ref="A8:A9"/>
    <mergeCell ref="I16:J16"/>
    <mergeCell ref="F8:F9"/>
    <mergeCell ref="I15:J15"/>
    <mergeCell ref="G8:G9"/>
    <mergeCell ref="I8:I9"/>
    <mergeCell ref="J8:J9"/>
    <mergeCell ref="K8:K9"/>
    <mergeCell ref="B8:E9"/>
    <mergeCell ref="A2:K2"/>
    <mergeCell ref="H8:H9"/>
    <mergeCell ref="A1:K1"/>
  </mergeCells>
  <pageMargins left="0.25" right="0.25" top="0.75" bottom="0.75" header="0.3" footer="0.3"/>
  <pageSetup orientation="landscape" paperSize="9"/>
  <headerFooter>
    <oddHeader>&amp;C&amp;G&amp;R&amp;"TH Sarabun New,ธรรมดา"แบบ ปร.2 (ก)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view="pageLayout" zoomScaleNormal="100" workbookViewId="0">
      <selection activeCell="H12" sqref="H12"/>
    </sheetView>
  </sheetViews>
  <sheetFormatPr baseColWidth="8" defaultColWidth="9" defaultRowHeight="19.5"/>
  <cols>
    <col width="7.5703125" customWidth="1" style="46" min="1" max="1"/>
    <col width="2.5703125" customWidth="1" style="46" min="2" max="2"/>
    <col width="10.7109375" customWidth="1" style="46" min="3" max="3"/>
    <col width="28.85546875" customWidth="1" style="46" min="4" max="4"/>
    <col width="2.28515625" customWidth="1" style="46" min="5" max="5"/>
    <col width="2.140625" customWidth="1" style="46" min="6" max="6"/>
    <col width="2" customWidth="1" style="46" min="7" max="7"/>
    <col width="21.42578125" customWidth="1" style="46" min="8" max="9"/>
    <col width="26.7109375" customWidth="1" style="46" min="10" max="11"/>
    <col width="9" customWidth="1" style="46" min="12" max="16384"/>
  </cols>
  <sheetData>
    <row r="1" ht="24" customHeight="1">
      <c r="A1" s="209" t="inlineStr">
        <is>
          <t>แบบแสดงรายการ ปริมาณงาน และราคา</t>
        </is>
      </c>
    </row>
    <row r="2" ht="24" customHeight="1">
      <c r="A2" s="209" t="inlineStr">
        <is>
          <t>ค่าใช้จ่ายพิเศษตามข้อกำหนด</t>
        </is>
      </c>
    </row>
    <row r="3" ht="21.75" customHeight="1">
      <c r="A3" s="52" t="inlineStr">
        <is>
          <t>โครงการงานก่อสร้าง</t>
        </is>
      </c>
      <c r="B3" s="53" t="n"/>
      <c r="C3" s="54" t="n"/>
      <c r="D3" s="54">
        <f>'ปร.1'!D3</f>
        <v/>
      </c>
      <c r="E3" s="54" t="n"/>
      <c r="F3" s="54" t="n"/>
      <c r="G3" s="54" t="n"/>
      <c r="H3" s="274" t="n"/>
      <c r="I3" s="53" t="n"/>
      <c r="J3" s="274" t="inlineStr">
        <is>
          <t>แบบเลขที่</t>
        </is>
      </c>
    </row>
    <row r="4" ht="21.75" customHeight="1">
      <c r="A4" s="56" t="inlineStr">
        <is>
          <t>สถานที่ก่อสร้าง</t>
        </is>
      </c>
      <c r="B4" s="57" t="n"/>
      <c r="C4" s="58" t="n"/>
      <c r="D4" s="58">
        <f>'ปร.1'!D4</f>
        <v/>
      </c>
      <c r="E4" s="58" t="n"/>
      <c r="F4" s="58" t="n"/>
      <c r="G4" s="58" t="n"/>
      <c r="H4" s="275" t="n"/>
      <c r="I4" s="57" t="n"/>
      <c r="J4" s="275" t="n"/>
      <c r="K4" s="275" t="n"/>
    </row>
    <row r="5" ht="21.75" customHeight="1">
      <c r="A5" s="56" t="inlineStr">
        <is>
          <t>หน่วยงานเจ้าของโครงการ</t>
        </is>
      </c>
      <c r="B5" s="57" t="n"/>
      <c r="C5" s="58" t="n"/>
      <c r="D5" s="58">
        <f>'ปร.1'!D5</f>
        <v/>
      </c>
      <c r="E5" s="58" t="n"/>
      <c r="F5" s="58" t="n"/>
      <c r="G5" s="58" t="n"/>
      <c r="H5" s="275" t="n"/>
      <c r="I5" s="57" t="n"/>
      <c r="J5" s="275" t="n"/>
      <c r="K5" s="275" t="n"/>
    </row>
    <row r="6" ht="21.75" customHeight="1">
      <c r="A6" s="56" t="inlineStr">
        <is>
          <t>ประมาณราคาเมื่อวันที่</t>
        </is>
      </c>
      <c r="B6" s="57" t="n"/>
      <c r="C6" s="58" t="n"/>
      <c r="D6" s="276">
        <f>'ปร.1'!D6</f>
        <v/>
      </c>
      <c r="E6" s="58" t="n"/>
      <c r="F6" s="58" t="n"/>
      <c r="G6" s="58" t="n"/>
      <c r="H6" s="275" t="n"/>
      <c r="I6" s="57" t="n"/>
      <c r="J6" s="275" t="n"/>
      <c r="K6" s="275" t="n"/>
    </row>
    <row r="7">
      <c r="A7" s="4" t="n"/>
      <c r="B7" s="4" t="n"/>
      <c r="C7" s="3" t="n"/>
      <c r="D7" s="3" t="n"/>
      <c r="E7" s="3" t="n"/>
      <c r="F7" s="3" t="n"/>
      <c r="G7" s="3" t="n"/>
      <c r="H7" s="273" t="n"/>
      <c r="I7" s="4" t="n"/>
      <c r="J7" s="273" t="n"/>
      <c r="K7" s="4" t="inlineStr">
        <is>
          <t>หน่วย : บาท</t>
        </is>
      </c>
    </row>
    <row r="8" ht="19.5" customHeight="1">
      <c r="A8" s="210" t="inlineStr">
        <is>
          <t>ลำดับที่</t>
        </is>
      </c>
      <c r="B8" s="210" t="inlineStr">
        <is>
          <t>รายการ</t>
        </is>
      </c>
      <c r="C8" s="277" t="n"/>
      <c r="D8" s="277" t="n"/>
      <c r="E8" s="277" t="n"/>
      <c r="F8" s="277" t="n"/>
      <c r="G8" s="278" t="n"/>
      <c r="H8" s="279" t="inlineStr">
        <is>
          <t>จำนวน</t>
        </is>
      </c>
      <c r="I8" s="210" t="inlineStr">
        <is>
          <t>หน่วย</t>
        </is>
      </c>
      <c r="J8" s="331" t="inlineStr">
        <is>
          <t xml:space="preserve">ค่าใช้จ่ายรวม </t>
        </is>
      </c>
      <c r="K8" s="210" t="inlineStr">
        <is>
          <t>หมายเหตุ</t>
        </is>
      </c>
    </row>
    <row r="9">
      <c r="A9" s="282" t="n"/>
      <c r="B9" s="283" t="n"/>
      <c r="C9" s="284" t="n"/>
      <c r="D9" s="284" t="n"/>
      <c r="E9" s="284" t="n"/>
      <c r="F9" s="284" t="n"/>
      <c r="G9" s="285" t="n"/>
      <c r="H9" s="282" t="n"/>
      <c r="I9" s="282" t="n"/>
      <c r="J9" s="332" t="inlineStr">
        <is>
          <t>(ค่าก่อสร้าง)</t>
        </is>
      </c>
      <c r="K9" s="282" t="n"/>
    </row>
    <row r="10">
      <c r="A10" s="76" t="n"/>
      <c r="B10" s="78" t="n"/>
      <c r="C10" s="79" t="n"/>
      <c r="D10" s="79" t="n"/>
      <c r="E10" s="79" t="n"/>
      <c r="F10" s="79" t="n"/>
      <c r="G10" s="80" t="n"/>
      <c r="H10" s="333" t="n"/>
      <c r="I10" s="76" t="n"/>
      <c r="J10" s="333" t="n"/>
      <c r="K10" s="76" t="n"/>
    </row>
    <row r="11">
      <c r="A11" s="77" t="n"/>
      <c r="B11" s="81" t="n"/>
      <c r="G11" s="82" t="n"/>
      <c r="H11" s="334" t="n"/>
      <c r="I11" s="150" t="n"/>
      <c r="J11" s="334" t="n"/>
      <c r="K11" s="77" t="n"/>
    </row>
    <row r="12">
      <c r="A12" s="77" t="n"/>
      <c r="B12" s="81" t="n"/>
      <c r="G12" s="82" t="n"/>
      <c r="H12" s="334" t="n"/>
      <c r="I12" s="77" t="n"/>
      <c r="J12" s="334" t="n"/>
      <c r="K12" s="77" t="n"/>
    </row>
    <row r="13">
      <c r="A13" s="77" t="n"/>
      <c r="B13" s="81" t="n"/>
      <c r="G13" s="82" t="n"/>
      <c r="H13" s="334" t="n"/>
      <c r="I13" s="77" t="n"/>
      <c r="J13" s="334" t="n"/>
      <c r="K13" s="77" t="n"/>
    </row>
    <row r="14">
      <c r="A14" s="84" t="n"/>
      <c r="B14" s="335" t="inlineStr">
        <is>
          <t>รวมค่าใช้จ่ายพิเศษตามข้อกำหนด ทุกรายการ</t>
        </is>
      </c>
      <c r="C14" s="336" t="n"/>
      <c r="D14" s="336" t="n"/>
      <c r="E14" s="336" t="n"/>
      <c r="F14" s="336" t="n"/>
      <c r="G14" s="336" t="n"/>
      <c r="H14" s="336" t="n"/>
      <c r="I14" s="280" t="n"/>
      <c r="J14" s="337" t="n"/>
      <c r="K14" s="84" t="n"/>
    </row>
    <row r="15"/>
    <row r="16"/>
    <row r="17"/>
    <row r="18"/>
    <row r="19"/>
    <row r="20"/>
    <row r="21"/>
    <row r="22"/>
    <row r="23"/>
    <row r="24"/>
    <row r="25"/>
    <row r="26">
      <c r="B26" s="90" t="inlineStr">
        <is>
          <t>1. เหตุผลและความจำเป็นที่ต้องมีค่าใช้จ่ายพิเศษตามข้อกำหนดฯ รายการนี้</t>
        </is>
      </c>
    </row>
    <row r="27">
      <c r="A27" s="83" t="n"/>
      <c r="B27" s="83" t="n"/>
      <c r="C27" s="83" t="n"/>
      <c r="D27" s="83" t="n"/>
      <c r="E27" s="83" t="n"/>
      <c r="F27" s="83" t="n"/>
      <c r="G27" s="83" t="n"/>
      <c r="H27" s="83" t="n"/>
      <c r="I27" s="83" t="n"/>
      <c r="J27" s="83" t="n"/>
      <c r="K27" s="83" t="n"/>
    </row>
    <row r="28"/>
    <row r="29">
      <c r="B29" s="90" t="inlineStr">
        <is>
          <t>2. รายละเอียดการคำนวณ</t>
        </is>
      </c>
    </row>
    <row r="30">
      <c r="A30" s="338" t="inlineStr">
        <is>
          <t>ที่</t>
        </is>
      </c>
      <c r="B30" s="338" t="inlineStr">
        <is>
          <t>รายการค่าใช้จ่าย</t>
        </is>
      </c>
      <c r="C30" s="277" t="n"/>
      <c r="D30" s="277" t="n"/>
      <c r="E30" s="277" t="n"/>
      <c r="F30" s="277" t="n"/>
      <c r="G30" s="278" t="n"/>
      <c r="H30" s="338" t="inlineStr">
        <is>
          <t>จำนวน</t>
        </is>
      </c>
      <c r="I30" s="278" t="n"/>
      <c r="J30" s="338" t="inlineStr">
        <is>
          <t>หมายเหตุ</t>
        </is>
      </c>
      <c r="K30" s="278" t="n"/>
    </row>
    <row r="31">
      <c r="A31" s="282" t="n"/>
      <c r="B31" s="283" t="n"/>
      <c r="C31" s="284" t="n"/>
      <c r="D31" s="284" t="n"/>
      <c r="E31" s="284" t="n"/>
      <c r="F31" s="284" t="n"/>
      <c r="G31" s="285" t="n"/>
      <c r="H31" s="283" t="n"/>
      <c r="I31" s="285" t="n"/>
      <c r="J31" s="283" t="n"/>
      <c r="K31" s="285" t="n"/>
    </row>
    <row r="32">
      <c r="A32" s="214" t="n"/>
      <c r="B32" s="255" t="n"/>
      <c r="C32" s="137" t="n"/>
      <c r="D32" s="256" t="n"/>
      <c r="E32" s="256" t="n"/>
      <c r="F32" s="256" t="n"/>
      <c r="G32" s="257" t="n"/>
      <c r="H32" s="255" t="n"/>
      <c r="I32" s="339" t="n"/>
      <c r="J32" s="255" t="n"/>
      <c r="K32" s="257" t="n"/>
    </row>
    <row r="33">
      <c r="A33" s="214" t="n"/>
      <c r="B33" s="255" t="n"/>
      <c r="C33" s="137" t="n"/>
      <c r="D33" s="256" t="n"/>
      <c r="E33" s="256" t="n"/>
      <c r="F33" s="256" t="n"/>
      <c r="G33" s="257" t="n"/>
      <c r="H33" s="255" t="n"/>
      <c r="I33" s="257" t="n"/>
      <c r="J33" s="255" t="n"/>
      <c r="K33" s="257" t="n"/>
    </row>
    <row r="34">
      <c r="A34" s="214" t="n"/>
      <c r="B34" s="255" t="n"/>
      <c r="C34" s="137" t="n"/>
      <c r="D34" s="256" t="n"/>
      <c r="E34" s="256" t="n"/>
      <c r="F34" s="256" t="n"/>
      <c r="G34" s="257" t="n"/>
      <c r="H34" s="255" t="n"/>
      <c r="I34" s="257" t="n"/>
      <c r="J34" s="255" t="n"/>
      <c r="K34" s="257" t="n"/>
    </row>
    <row r="35">
      <c r="A35" s="136" t="n"/>
      <c r="B35" s="138" t="n"/>
      <c r="C35" s="72" t="n"/>
      <c r="D35" s="72" t="n"/>
      <c r="E35" s="72" t="n"/>
      <c r="F35" s="72" t="n"/>
      <c r="G35" s="86" t="n"/>
      <c r="H35" s="85" t="n"/>
      <c r="I35" s="86" t="n"/>
      <c r="J35" s="85" t="n"/>
      <c r="K35" s="86" t="n"/>
    </row>
    <row r="36">
      <c r="G36" s="45" t="inlineStr">
        <is>
          <t>รวมค่าใช้จ่าย</t>
        </is>
      </c>
      <c r="H36" s="85" t="n"/>
      <c r="I36" s="340" t="n"/>
    </row>
    <row r="37">
      <c r="G37" s="45" t="inlineStr">
        <is>
          <t>ภาษีมูลค่าเพิ่ม</t>
        </is>
      </c>
      <c r="H37" s="85" t="n"/>
      <c r="I37" s="340" t="n"/>
    </row>
    <row r="38">
      <c r="G38" s="45" t="inlineStr">
        <is>
          <t>ค่าใช้จ่ายรวมภาษีมูลค่าเพิ่ม</t>
        </is>
      </c>
      <c r="H38" s="85" t="n"/>
      <c r="I38" s="340" t="n"/>
    </row>
    <row r="39"/>
    <row r="40">
      <c r="J40" s="73" t="n"/>
    </row>
    <row r="41">
      <c r="J41" s="341" t="n"/>
    </row>
    <row r="42">
      <c r="J42" s="235" t="inlineStr">
        <is>
          <t>ผู้ประมาณราคา</t>
        </is>
      </c>
    </row>
  </sheetData>
  <mergeCells count="12">
    <mergeCell ref="B8:G9"/>
    <mergeCell ref="A8:A9"/>
    <mergeCell ref="H8:H9"/>
    <mergeCell ref="I8:I9"/>
    <mergeCell ref="K8:K9"/>
    <mergeCell ref="J30:K31"/>
    <mergeCell ref="B30:G31"/>
    <mergeCell ref="A2:K2"/>
    <mergeCell ref="B14:I14"/>
    <mergeCell ref="A1:K1"/>
    <mergeCell ref="A30:A31"/>
    <mergeCell ref="H30:I31"/>
  </mergeCells>
  <pageMargins left="0.2362204724409449" right="0.2362204724409449" top="0.7480314960629921" bottom="0.7480314960629921" header="0.3149606299212598" footer="0.3149606299212598"/>
  <pageSetup orientation="landscape" paperSize="9"/>
  <headerFooter>
    <oddHeader>&amp;C&amp;G&amp;R&amp;"TH Sarabun New,ธรรมดา"แบบ ปร.3</oddHeader>
    <oddFooter>&amp;R&amp;"TH Sarabun New,ธรรมดา"หน้า &amp;P จาก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tabSelected="1" view="pageLayout" zoomScaleNormal="100" zoomScaleSheetLayoutView="100" workbookViewId="0">
      <selection activeCell="H12" sqref="H12"/>
    </sheetView>
  </sheetViews>
  <sheetFormatPr baseColWidth="8" defaultRowHeight="19.5"/>
  <cols>
    <col width="8.5703125" customWidth="1" style="46" min="1" max="1"/>
    <col width="2.5703125" customWidth="1" style="46" min="2" max="2"/>
    <col width="10.7109375" customWidth="1" style="46" min="3" max="3"/>
    <col width="50.7109375" customWidth="1" style="46" min="4" max="4"/>
    <col width="2.28515625" customWidth="1" style="46" min="5" max="5"/>
    <col width="2.140625" customWidth="1" style="46" min="6" max="6"/>
    <col width="2" customWidth="1" style="46" min="7" max="7"/>
    <col width="36.5703125" customWidth="1" style="46" min="8" max="8"/>
    <col width="34.7109375" customWidth="1" style="46" min="9" max="9"/>
    <col width="9.140625" customWidth="1" style="46" min="10" max="16384"/>
  </cols>
  <sheetData>
    <row r="1" ht="24" customHeight="1">
      <c r="A1" s="209" t="inlineStr">
        <is>
          <t>แบบสรุปประมาณราคาค่าก่อสร้าง</t>
        </is>
      </c>
    </row>
    <row r="2" ht="21.75" customHeight="1">
      <c r="A2" s="52" t="inlineStr">
        <is>
          <t>โครงการงานก่อสร้าง</t>
        </is>
      </c>
      <c r="B2" s="53" t="n"/>
      <c r="C2" s="54" t="n"/>
      <c r="D2" s="54">
        <f>'ปร.1'!D3</f>
        <v/>
      </c>
      <c r="E2" s="54" t="n"/>
      <c r="F2" s="54" t="n"/>
      <c r="G2" s="54" t="n"/>
      <c r="H2" s="274" t="inlineStr">
        <is>
          <t>แบบเลขที่</t>
        </is>
      </c>
      <c r="I2" s="274" t="n"/>
    </row>
    <row r="3" ht="21.75" customHeight="1">
      <c r="A3" s="56" t="inlineStr">
        <is>
          <t>สถานที่ก่อสร้าง</t>
        </is>
      </c>
      <c r="B3" s="57" t="n"/>
      <c r="C3" s="58" t="n"/>
      <c r="D3" s="58">
        <f>'ปร.1'!D4</f>
        <v/>
      </c>
      <c r="E3" s="58" t="n"/>
      <c r="F3" s="58" t="n"/>
      <c r="G3" s="58" t="n"/>
      <c r="H3" s="56" t="inlineStr">
        <is>
          <t>แบบ ปร. 1(ก)  ที่แนบ มีจำนวน 1 ชุด</t>
        </is>
      </c>
      <c r="I3" s="58" t="n"/>
    </row>
    <row r="4" ht="21.75" customHeight="1">
      <c r="A4" s="56" t="inlineStr">
        <is>
          <t>หน่วยงานเจ้าของโครงการ</t>
        </is>
      </c>
      <c r="B4" s="57" t="n"/>
      <c r="C4" s="58" t="n"/>
      <c r="D4" s="58">
        <f>'ปร.1'!D5</f>
        <v/>
      </c>
      <c r="E4" s="58" t="n"/>
      <c r="F4" s="58" t="n"/>
      <c r="G4" s="58" t="n"/>
      <c r="H4" s="275" t="n"/>
      <c r="I4" s="275" t="n"/>
    </row>
    <row r="5" ht="21.75" customHeight="1">
      <c r="A5" s="56" t="inlineStr">
        <is>
          <t>ประมาณราคาเมื่อวันที่</t>
        </is>
      </c>
      <c r="B5" s="57" t="n"/>
      <c r="C5" s="58" t="n"/>
      <c r="D5" s="276">
        <f>'ปร.1'!D6</f>
        <v/>
      </c>
      <c r="E5" s="58" t="n"/>
      <c r="F5" s="58" t="n"/>
      <c r="G5" s="58" t="n"/>
      <c r="H5" s="275" t="n"/>
      <c r="I5" s="275" t="n"/>
    </row>
    <row r="6" ht="20.25" customHeight="1" thickBot="1">
      <c r="A6" s="4" t="n"/>
      <c r="B6" s="4" t="n"/>
      <c r="C6" s="3" t="n"/>
      <c r="D6" s="3" t="n"/>
      <c r="E6" s="3" t="n"/>
      <c r="F6" s="3" t="n"/>
      <c r="G6" s="3" t="n"/>
      <c r="H6" s="273" t="n"/>
      <c r="I6" s="20" t="inlineStr">
        <is>
          <t>หน่วย : บาท</t>
        </is>
      </c>
    </row>
    <row r="7" ht="20.25" customHeight="1" thickTop="1">
      <c r="A7" s="236" t="inlineStr">
        <is>
          <t>ลำดับที่</t>
        </is>
      </c>
      <c r="B7" s="236" t="inlineStr">
        <is>
          <t>รายการ</t>
        </is>
      </c>
      <c r="C7" s="299" t="n"/>
      <c r="D7" s="299" t="n"/>
      <c r="E7" s="299" t="n"/>
      <c r="F7" s="299" t="n"/>
      <c r="G7" s="300" t="n"/>
      <c r="H7" s="342" t="inlineStr">
        <is>
          <t>ค่าก่อสร้าง</t>
        </is>
      </c>
      <c r="I7" s="321" t="inlineStr">
        <is>
          <t>หมายเหตุ</t>
        </is>
      </c>
    </row>
    <row r="8">
      <c r="A8" s="282" t="n"/>
      <c r="B8" s="283" t="n"/>
      <c r="C8" s="284" t="n"/>
      <c r="D8" s="284" t="n"/>
      <c r="E8" s="284" t="n"/>
      <c r="F8" s="284" t="n"/>
      <c r="G8" s="285" t="n"/>
      <c r="H8" s="285" t="n"/>
      <c r="I8" s="282" t="n"/>
    </row>
    <row r="9">
      <c r="A9" s="250" t="n"/>
      <c r="B9" s="31" t="n"/>
      <c r="C9" s="12" t="n"/>
      <c r="D9" s="12" t="n"/>
      <c r="E9" s="12" t="n"/>
      <c r="F9" s="12" t="n"/>
      <c r="G9" s="13" t="n"/>
      <c r="H9" s="343" t="n"/>
      <c r="I9" s="344" t="n"/>
    </row>
    <row r="10" ht="20.25" customHeight="1" thickBot="1">
      <c r="A10" s="262" t="n"/>
      <c r="B10" s="21" t="n"/>
      <c r="C10" s="3" t="n"/>
      <c r="D10" s="3" t="n"/>
      <c r="E10" s="3" t="n"/>
      <c r="F10" s="3" t="n"/>
      <c r="G10" s="9" t="n"/>
      <c r="H10" s="345" t="n"/>
      <c r="I10" s="346" t="n"/>
    </row>
    <row r="11" ht="23.25" customHeight="1" thickBot="1" thickTop="1">
      <c r="A11" s="62" t="inlineStr">
        <is>
          <t>สรุป</t>
        </is>
      </c>
      <c r="B11" s="141" t="n"/>
      <c r="C11" s="142" t="n"/>
      <c r="D11" s="142" t="n"/>
      <c r="E11" s="142" t="n"/>
      <c r="F11" s="142" t="n"/>
      <c r="G11" s="143" t="n"/>
      <c r="H11" s="322" t="n"/>
      <c r="I11" s="322" t="n"/>
    </row>
    <row r="12" ht="21" customHeight="1" thickBot="1" thickTop="1">
      <c r="A12" s="347" t="n"/>
      <c r="B12" s="21" t="n"/>
      <c r="C12" s="22" t="n"/>
      <c r="D12" s="3" t="n"/>
      <c r="E12" s="144" t="inlineStr">
        <is>
          <t>คิดเพียง</t>
        </is>
      </c>
      <c r="F12" s="3" t="n"/>
      <c r="G12" s="9" t="n"/>
      <c r="H12" s="348" t="n"/>
      <c r="I12" s="322" t="n"/>
    </row>
    <row r="13" ht="21" customHeight="1" thickBot="1" thickTop="1">
      <c r="A13" s="326" t="n"/>
      <c r="B13" s="33" t="n"/>
      <c r="C13" s="148" t="n"/>
      <c r="D13" s="34" t="n"/>
      <c r="E13" s="145" t="n"/>
      <c r="F13" s="34" t="n"/>
      <c r="G13" s="34" t="n"/>
      <c r="H13" s="349" t="n"/>
      <c r="I13" s="349" t="n"/>
    </row>
    <row r="14" ht="20.25" customHeight="1" thickTop="1"/>
    <row r="15"/>
    <row r="16">
      <c r="H16" s="73" t="n"/>
    </row>
    <row r="17">
      <c r="H17" s="341" t="n"/>
    </row>
    <row r="18">
      <c r="H18" s="235" t="inlineStr">
        <is>
          <t>ผู้ประมาณราคา</t>
        </is>
      </c>
    </row>
  </sheetData>
  <mergeCells count="6">
    <mergeCell ref="B7:G8"/>
    <mergeCell ref="A1:I1"/>
    <mergeCell ref="A11:A13"/>
    <mergeCell ref="A7:A8"/>
    <mergeCell ref="H7:H8"/>
    <mergeCell ref="I7:I8"/>
  </mergeCells>
  <pageMargins left="0.25" right="0.25" top="0.75" bottom="0.75" header="0.3" footer="0.3"/>
  <pageSetup orientation="landscape" paperSize="9"/>
  <headerFooter>
    <oddHeader>&amp;C&amp;G&amp;R&amp;"TH Sarabun New,ตัวหนา"แบบ ปร.4</oddHeader>
    <oddFooter>&amp;R&amp;"TH Sarabun New,ธรรมดา"หน้า &amp;P จาก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view="pageLayout" topLeftCell="A36" zoomScaleNormal="100" workbookViewId="0">
      <selection activeCell="I9" sqref="I9"/>
    </sheetView>
  </sheetViews>
  <sheetFormatPr baseColWidth="8" defaultColWidth="9" defaultRowHeight="19.5"/>
  <cols>
    <col width="9.140625" customWidth="1" style="46" min="1" max="4"/>
    <col width="10.7109375" customWidth="1" style="350" min="5" max="5"/>
    <col width="10.7109375" customWidth="1" style="351" min="6" max="6"/>
    <col width="10.7109375" customWidth="1" style="350" min="7" max="7"/>
    <col width="9.140625" customWidth="1" style="46" min="8" max="11"/>
    <col width="9" customWidth="1" style="46" min="12" max="16384"/>
  </cols>
  <sheetData>
    <row r="1">
      <c r="K1" s="94">
        <f>"โครงการ : "&amp;'ปร.1'!D3</f>
        <v/>
      </c>
    </row>
    <row r="2">
      <c r="K2" s="94" t="n"/>
    </row>
    <row r="3"/>
    <row r="4" ht="24" customHeight="1">
      <c r="F4" s="352" t="inlineStr">
        <is>
          <t>Factor F อาคาร</t>
        </is>
      </c>
    </row>
    <row r="5" ht="24" customHeight="1">
      <c r="F5" s="352" t="n"/>
    </row>
    <row r="6">
      <c r="C6" s="90" t="inlineStr">
        <is>
          <t>เงินล่วงหน้าจ่าย</t>
        </is>
      </c>
      <c r="D6" s="90" t="n"/>
      <c r="E6" s="101" t="n">
        <v>0</v>
      </c>
      <c r="F6" s="353" t="n"/>
      <c r="G6" s="354" t="inlineStr">
        <is>
          <t>ดอกเบี้ยเงินกู้</t>
        </is>
      </c>
      <c r="H6" s="90" t="n"/>
      <c r="I6" s="93" t="n">
        <v>0.06</v>
      </c>
      <c r="J6" s="90" t="inlineStr">
        <is>
          <t>ต่อปี</t>
        </is>
      </c>
    </row>
    <row r="7">
      <c r="C7" s="90" t="inlineStr">
        <is>
          <t>เงินประกันหักผลงาน</t>
        </is>
      </c>
      <c r="D7" s="90" t="n"/>
      <c r="E7" s="101" t="n">
        <v>0</v>
      </c>
      <c r="F7" s="353" t="n"/>
      <c r="G7" s="354" t="inlineStr">
        <is>
          <t>ค่าภาษีมูลค่าเพิ่ม (VAT)</t>
        </is>
      </c>
      <c r="H7" s="90" t="n"/>
      <c r="I7" s="93" t="n">
        <v>0.07000000000000001</v>
      </c>
    </row>
    <row r="8"/>
    <row r="9">
      <c r="E9" s="355" t="inlineStr">
        <is>
          <t>ค่างาน (ทุน)</t>
        </is>
      </c>
      <c r="F9" s="356" t="inlineStr">
        <is>
          <t>รวมในรูป</t>
        </is>
      </c>
      <c r="G9" s="355" t="inlineStr">
        <is>
          <t>Factor F</t>
        </is>
      </c>
    </row>
    <row r="10">
      <c r="E10" s="357" t="inlineStr">
        <is>
          <t>ล้านบาท</t>
        </is>
      </c>
      <c r="F10" s="358" t="inlineStr">
        <is>
          <t>Factor F</t>
        </is>
      </c>
      <c r="G10" s="357" t="n"/>
    </row>
    <row r="11">
      <c r="E11" s="359" t="n"/>
      <c r="F11" s="360" t="n"/>
      <c r="G11" s="361" t="n"/>
    </row>
    <row r="12">
      <c r="D12" s="94" t="inlineStr">
        <is>
          <t>≤</t>
        </is>
      </c>
      <c r="E12" s="362" t="n">
        <v>0.5</v>
      </c>
      <c r="F12" s="363" t="n">
        <v>1.2218</v>
      </c>
      <c r="G12" s="363" t="n">
        <v>1.3073</v>
      </c>
      <c r="I12" s="350" t="n"/>
      <c r="J12" s="350" t="n"/>
    </row>
    <row r="13">
      <c r="E13" s="337" t="n">
        <v>1</v>
      </c>
      <c r="F13" s="363" t="n">
        <v>1.2196</v>
      </c>
      <c r="G13" s="363" t="n">
        <v>1.3049</v>
      </c>
    </row>
    <row r="14">
      <c r="E14" s="337" t="n">
        <v>2</v>
      </c>
      <c r="F14" s="363" t="n">
        <v>1.2182</v>
      </c>
      <c r="G14" s="363" t="n">
        <v>1.3034</v>
      </c>
    </row>
    <row r="15" ht="21.75" customHeight="1">
      <c r="E15" s="337" t="n">
        <v>5</v>
      </c>
      <c r="F15" s="363" t="n">
        <v>1.2152</v>
      </c>
      <c r="G15" s="363" t="n">
        <v>1.3002</v>
      </c>
      <c r="I15" s="364" t="n"/>
      <c r="N15" s="108" t="n"/>
      <c r="O15" s="108" t="n"/>
      <c r="P15" s="108" t="n"/>
    </row>
    <row r="16" ht="21.75" customHeight="1">
      <c r="E16" s="337" t="n">
        <v>10</v>
      </c>
      <c r="F16" s="363" t="n">
        <v>1.2096</v>
      </c>
      <c r="G16" s="363" t="n">
        <v>1.2942</v>
      </c>
      <c r="N16" s="108" t="n"/>
      <c r="O16" s="108" t="n"/>
      <c r="P16" s="108" t="n"/>
    </row>
    <row r="17" ht="21.75" customHeight="1">
      <c r="E17" s="337" t="n">
        <v>15</v>
      </c>
      <c r="F17" s="363" t="n">
        <v>1.17</v>
      </c>
      <c r="G17" s="363" t="n">
        <v>1.2519</v>
      </c>
      <c r="N17" s="108" t="n"/>
      <c r="O17" s="108" t="n"/>
      <c r="P17" s="108" t="n"/>
    </row>
    <row r="18" ht="21.75" customHeight="1">
      <c r="E18" s="337" t="n">
        <v>20</v>
      </c>
      <c r="F18" s="363" t="n">
        <v>1.1698</v>
      </c>
      <c r="G18" s="363" t="n">
        <v>1.2516</v>
      </c>
      <c r="N18" s="108" t="n"/>
      <c r="O18" s="108" t="n"/>
      <c r="P18" s="108" t="n"/>
    </row>
    <row r="19" ht="21.75" customHeight="1">
      <c r="E19" s="337" t="n">
        <v>25</v>
      </c>
      <c r="F19" s="363" t="n">
        <v>1.1446</v>
      </c>
      <c r="G19" s="363" t="n">
        <v>1.2247</v>
      </c>
      <c r="N19" s="108" t="n"/>
      <c r="O19" s="108" t="n"/>
      <c r="P19" s="108" t="n"/>
    </row>
    <row r="20" ht="21.75" customHeight="1">
      <c r="E20" s="337" t="n">
        <v>30</v>
      </c>
      <c r="F20" s="363" t="n">
        <v>1.1368</v>
      </c>
      <c r="G20" s="363" t="n">
        <v>1.2163</v>
      </c>
      <c r="N20" s="108" t="n"/>
      <c r="O20" s="108" t="n"/>
      <c r="P20" s="108" t="n"/>
    </row>
    <row r="21" ht="21.75" customHeight="1">
      <c r="E21" s="337" t="n">
        <v>40</v>
      </c>
      <c r="F21" s="363" t="n">
        <v>1.1364</v>
      </c>
      <c r="G21" s="363" t="n">
        <v>1.2159</v>
      </c>
      <c r="N21" s="108" t="n"/>
      <c r="O21" s="108" t="n"/>
      <c r="P21" s="108" t="n"/>
    </row>
    <row r="22" ht="21.75" customHeight="1">
      <c r="E22" s="337" t="n">
        <v>50</v>
      </c>
      <c r="F22" s="363" t="n">
        <v>1.1363</v>
      </c>
      <c r="G22" s="363" t="n">
        <v>1.2158</v>
      </c>
      <c r="N22" s="108" t="n"/>
      <c r="O22" s="108" t="n"/>
      <c r="P22" s="108" t="n"/>
    </row>
    <row r="23" ht="21.75" customHeight="1">
      <c r="E23" s="337" t="n">
        <v>60</v>
      </c>
      <c r="F23" s="363" t="n">
        <v>1.1262</v>
      </c>
      <c r="G23" s="363" t="n">
        <v>1.205</v>
      </c>
      <c r="N23" s="108" t="n"/>
      <c r="O23" s="108" t="n"/>
      <c r="P23" s="108" t="n"/>
    </row>
    <row r="24" ht="21.75" customHeight="1">
      <c r="E24" s="337" t="n">
        <v>70</v>
      </c>
      <c r="F24" s="363" t="n">
        <v>1.1261</v>
      </c>
      <c r="G24" s="363" t="n">
        <v>1.2049</v>
      </c>
      <c r="N24" s="108" t="n"/>
      <c r="O24" s="108" t="n"/>
      <c r="P24" s="108" t="n"/>
    </row>
    <row r="25" ht="21.75" customHeight="1">
      <c r="E25" s="337" t="n">
        <v>80</v>
      </c>
      <c r="F25" s="363" t="n">
        <v>1.126</v>
      </c>
      <c r="G25" s="363" t="n">
        <v>1.2048</v>
      </c>
      <c r="N25" s="108" t="n"/>
      <c r="O25" s="108" t="n"/>
      <c r="P25" s="108" t="n"/>
    </row>
    <row r="26" ht="21.75" customHeight="1">
      <c r="E26" s="337" t="n">
        <v>90</v>
      </c>
      <c r="F26" s="363" t="n">
        <v>1.1259</v>
      </c>
      <c r="G26" s="363" t="n">
        <v>1.2047</v>
      </c>
      <c r="N26" s="108" t="n"/>
      <c r="O26" s="108" t="n"/>
      <c r="P26" s="108" t="n"/>
    </row>
    <row r="27" ht="21.75" customHeight="1">
      <c r="E27" s="337" t="n">
        <v>100</v>
      </c>
      <c r="F27" s="363" t="n">
        <v>1.1258</v>
      </c>
      <c r="G27" s="363" t="n">
        <v>1.2046</v>
      </c>
      <c r="N27" s="108" t="n"/>
      <c r="O27" s="108" t="n"/>
      <c r="P27" s="108" t="n"/>
    </row>
    <row r="28" ht="21.75" customHeight="1">
      <c r="E28" s="337" t="n">
        <v>150</v>
      </c>
      <c r="F28" s="363" t="n">
        <v>1.1227</v>
      </c>
      <c r="G28" s="363" t="n">
        <v>1.2012</v>
      </c>
      <c r="N28" s="108" t="n"/>
      <c r="O28" s="108" t="n"/>
      <c r="P28" s="108" t="n"/>
    </row>
    <row r="29" ht="21.75" customHeight="1">
      <c r="E29" s="337" t="n">
        <v>200</v>
      </c>
      <c r="F29" s="363" t="n">
        <v>1.1226</v>
      </c>
      <c r="G29" s="363" t="n">
        <v>1.2011</v>
      </c>
      <c r="N29" s="108" t="n"/>
      <c r="O29" s="108" t="n"/>
      <c r="P29" s="108" t="n"/>
    </row>
    <row r="30" ht="21.75" customHeight="1">
      <c r="E30" s="337" t="n">
        <v>250</v>
      </c>
      <c r="F30" s="363" t="n">
        <v>1.1225</v>
      </c>
      <c r="G30" s="363" t="n">
        <v>1.201</v>
      </c>
      <c r="N30" s="108" t="n"/>
      <c r="O30" s="108" t="n"/>
      <c r="P30" s="108" t="n"/>
    </row>
    <row r="31" ht="21.75" customHeight="1">
      <c r="E31" s="337" t="n">
        <v>300</v>
      </c>
      <c r="F31" s="363" t="n">
        <v>1.1169</v>
      </c>
      <c r="G31" s="363" t="n">
        <v>1.195</v>
      </c>
      <c r="N31" s="108" t="n"/>
      <c r="O31" s="108" t="n"/>
      <c r="P31" s="108" t="n"/>
    </row>
    <row r="32" ht="21.75" customHeight="1">
      <c r="E32" s="337" t="n">
        <v>350</v>
      </c>
      <c r="F32" s="363" t="n">
        <v>1.1063</v>
      </c>
      <c r="G32" s="363" t="n">
        <v>1.1837</v>
      </c>
      <c r="N32" s="108" t="n"/>
      <c r="O32" s="108" t="n"/>
      <c r="P32" s="108" t="n"/>
    </row>
    <row r="33" ht="21.75" customHeight="1">
      <c r="E33" s="337" t="n">
        <v>400</v>
      </c>
      <c r="F33" s="363" t="n">
        <v>1.1061</v>
      </c>
      <c r="G33" s="363" t="n">
        <v>1.1835</v>
      </c>
      <c r="N33" s="108" t="n"/>
      <c r="O33" s="108" t="n"/>
      <c r="P33" s="108" t="n"/>
    </row>
    <row r="34" ht="21.75" customHeight="1">
      <c r="E34" s="362" t="n">
        <v>500</v>
      </c>
      <c r="F34" s="363" t="n">
        <v>1.106</v>
      </c>
      <c r="G34" s="363" t="n">
        <v>1.1834</v>
      </c>
      <c r="N34" s="108" t="n"/>
      <c r="O34" s="108" t="n"/>
      <c r="P34" s="108" t="n"/>
    </row>
    <row r="35" ht="21.75" customHeight="1">
      <c r="D35" s="94" t="inlineStr">
        <is>
          <t>&gt;</t>
        </is>
      </c>
      <c r="E35" s="337" t="n">
        <v>500</v>
      </c>
      <c r="F35" s="363" t="n">
        <v>1.1016</v>
      </c>
      <c r="G35" s="363" t="n">
        <v>1.1787</v>
      </c>
      <c r="N35" s="108" t="n"/>
      <c r="O35" s="108" t="n"/>
      <c r="P35" s="108" t="n"/>
    </row>
    <row r="36" ht="21.75" customHeight="1">
      <c r="N36" s="108" t="n"/>
      <c r="O36" s="108" t="n"/>
      <c r="P36" s="108" t="n"/>
    </row>
    <row r="37" ht="23.25" customHeight="1">
      <c r="D37" s="90" t="inlineStr">
        <is>
          <t>ค่างานต้นทุนรวมทั้งโครงการ</t>
        </is>
      </c>
      <c r="G37" s="341">
        <f>'ปร.1'!N14</f>
        <v/>
      </c>
      <c r="I37" s="90" t="inlineStr">
        <is>
          <t>บาท</t>
        </is>
      </c>
      <c r="N37" s="108" t="n"/>
      <c r="O37" s="108" t="n"/>
      <c r="P37" s="108" t="n"/>
    </row>
    <row r="38" ht="21.75" customHeight="1">
      <c r="N38" s="108" t="n"/>
      <c r="O38" s="108" t="n"/>
      <c r="P38" s="108" t="n"/>
    </row>
    <row r="39">
      <c r="D39" s="90" t="inlineStr">
        <is>
          <t>แหล่งของเงินงบประมาณ</t>
        </is>
      </c>
      <c r="G39" s="365" t="n"/>
      <c r="H39" s="366" t="n"/>
      <c r="I39" s="90" t="inlineStr">
        <is>
          <t>บาท</t>
        </is>
      </c>
    </row>
    <row r="40">
      <c r="D40" s="90" t="inlineStr">
        <is>
          <t>แหล่งของเงินนอกงบประมาณ</t>
        </is>
      </c>
      <c r="G40" s="365" t="n"/>
      <c r="H40" s="366" t="n"/>
      <c r="I40" s="90" t="inlineStr">
        <is>
          <t>บาท</t>
        </is>
      </c>
    </row>
    <row r="41"/>
    <row r="42">
      <c r="C42" s="90" t="inlineStr">
        <is>
          <t>เงินล่วงหน้าจ่าย</t>
        </is>
      </c>
      <c r="D42" s="90" t="n"/>
      <c r="E42" s="101" t="n">
        <v>0</v>
      </c>
      <c r="F42" s="353" t="n"/>
      <c r="G42" s="354" t="inlineStr">
        <is>
          <t>ดอกเบี้ยเงินกู้</t>
        </is>
      </c>
      <c r="H42" s="90" t="n"/>
      <c r="I42" s="93" t="n">
        <v>0.06</v>
      </c>
      <c r="J42" s="90" t="inlineStr">
        <is>
          <t>ต่อปี</t>
        </is>
      </c>
    </row>
    <row r="43">
      <c r="C43" s="90" t="inlineStr">
        <is>
          <t>เงินประกันหักผลงาน</t>
        </is>
      </c>
      <c r="D43" s="90" t="n"/>
      <c r="E43" s="101" t="n">
        <v>0</v>
      </c>
      <c r="F43" s="353" t="n"/>
      <c r="G43" s="354" t="inlineStr">
        <is>
          <t>ค่าภาษีมูลค่าเพิ่ม (VAT)</t>
        </is>
      </c>
      <c r="H43" s="90" t="n"/>
      <c r="I43" s="93" t="n">
        <v>0.07000000000000001</v>
      </c>
    </row>
    <row r="44"/>
    <row r="45">
      <c r="C45" s="90" t="inlineStr">
        <is>
          <t>Factor F อาคาร</t>
        </is>
      </c>
    </row>
    <row r="46"/>
    <row r="47">
      <c r="C47" s="335" t="inlineStr">
        <is>
          <t>ค่างานต้นทุน</t>
        </is>
      </c>
      <c r="D47" s="336" t="n"/>
      <c r="E47" s="336" t="n"/>
      <c r="F47" s="280" t="n"/>
      <c r="G47" s="367" t="inlineStr">
        <is>
          <t>Factor F</t>
        </is>
      </c>
      <c r="H47" s="336" t="n"/>
      <c r="I47" s="280" t="n"/>
    </row>
    <row r="48" ht="23.25" customHeight="1">
      <c r="C48" s="113" t="n"/>
      <c r="D48" s="368">
        <f>IF(G37&lt;500000, 0.5, IF(G37&gt;500000000, 500, INDEX(E12:E35, MATCH(G37/1000000, E12:E35, 1))))*1000000</f>
        <v/>
      </c>
      <c r="E48" s="336" t="n"/>
      <c r="F48" s="369" t="n"/>
      <c r="G48" s="370" t="n"/>
      <c r="H48" s="371">
        <f>VLOOKUP(D48/1000000,E12:G35,3,TRUE)</f>
        <v/>
      </c>
      <c r="I48" s="117" t="n"/>
    </row>
    <row r="49">
      <c r="C49" s="113" t="n"/>
      <c r="D49" s="372">
        <f>G37</f>
        <v/>
      </c>
      <c r="E49" s="336" t="n"/>
      <c r="F49" s="369" t="n"/>
      <c r="G49" s="370" t="n"/>
      <c r="H49" s="371" t="n"/>
      <c r="I49" s="117" t="n"/>
    </row>
    <row r="50" ht="23.25" customHeight="1">
      <c r="C50" s="113" t="n"/>
      <c r="D50" s="368" t="n"/>
      <c r="E50" s="336" t="n"/>
      <c r="F50" s="369" t="n"/>
      <c r="G50" s="370" t="n"/>
      <c r="H50" s="371" t="n"/>
      <c r="I50" s="11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8">
    <mergeCell ref="G47:I47"/>
    <mergeCell ref="D50:E50"/>
    <mergeCell ref="D49:E49"/>
    <mergeCell ref="G40:H40"/>
    <mergeCell ref="G37:H37"/>
    <mergeCell ref="C47:F47"/>
    <mergeCell ref="D48:E48"/>
    <mergeCell ref="G39:H39"/>
  </mergeCells>
  <pageMargins left="0.2362204724409449" right="0.2362204724409449" top="0.7480314960629921" bottom="0.7480314960629921" header="0.3149606299212598" footer="0.3149606299212598"/>
  <pageSetup orientation="portrait" paperSize="9"/>
  <headerFooter>
    <oddHeader>&amp;C&amp;G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Patcharapol Paocharoen</dc:creator>
  <dcterms:created xmlns:dcterms="http://purl.org/dc/terms/" xmlns:xsi="http://www.w3.org/2001/XMLSchema-instance" xsi:type="dcterms:W3CDTF">2026-06-17T07:25:06Z</dcterms:created>
  <dcterms:modified xmlns:dcterms="http://purl.org/dc/terms/" xmlns:xsi="http://www.w3.org/2001/XMLSchema-instance" xsi:type="dcterms:W3CDTF">2026-10-19T16:05:27Z</dcterms:modified>
  <cp:lastModifiedBy>Patcharapol Paocharoen</cp:lastModifiedBy>
  <cp:lastPrinted>2026-09-23T03:16:20Z</cp:lastPrinted>
</cp:coreProperties>
</file>